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عليمات" sheetId="1" state="visible" r:id="rId3"/>
    <sheet name="الإعدادات" sheetId="2" state="visible" r:id="rId4"/>
    <sheet name="الملف العائلي" sheetId="3" state="visible" r:id="rId5"/>
    <sheet name="أهدافي السنوية" sheetId="4" state="visible" r:id="rId6"/>
    <sheet name="الميزانية الشهرية" sheetId="5" state="visible" r:id="rId7"/>
    <sheet name="تتبع الدخل" sheetId="6" state="visible" r:id="rId8"/>
    <sheet name="تتبع المصروفات" sheetId="7" state="visible" r:id="rId9"/>
    <sheet name="صندوق الطوارئ" sheetId="8" state="visible" r:id="rId10"/>
    <sheet name="أهداف الادخار" sheetId="9" state="visible" r:id="rId11"/>
    <sheet name="ثروتي الصافية" sheetId="10" state="visible" r:id="rId12"/>
    <sheet name="حاسبة الزكاة" sheetId="11" state="visible" r:id="rId13"/>
    <sheet name="تتبع الصدقات" sheetId="12" state="visible" r:id="rId14"/>
    <sheet name="الاستثمار الحلال" sheetId="13" state="visible" r:id="rId15"/>
    <sheet name="مخطط رمضان" sheetId="14" state="visible" r:id="rId16"/>
    <sheet name="ميزانية العيد" sheetId="15" state="visible" r:id="rId17"/>
    <sheet name="المهر والزواج" sheetId="16" state="visible" r:id="rId18"/>
    <sheet name="شراء المنزل الحلال" sheetId="17" state="visible" r:id="rId19"/>
    <sheet name="لوحة التحكم" sheetId="18" state="visible" r:id="rId20"/>
    <sheet name="الملخص السنوي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<sst xmlns="http://schemas.openxmlformats.org/spreadsheetml/2006/main" count="1178" uniqueCount="544">
  <si>
    <t xml:space="preserve">🌙  مرحباً بك في أمانة لايف | AmanahLife  ·  Welcome to أمانة لايف | AmanahLife</t>
  </si>
  <si>
    <t xml:space="preserve">أمانة لايف | AmanahLife
خطط بهدف. عش بأمانة.
Plan with Purpose. Live with Amanah.
خطط بهدف. عش بأمانة. — Built for Muslim Families Globally
الرجاء قراءة التعليمات أدناه قبل البدء · Please read the instructions below before starting</t>
  </si>
  <si>
    <t xml:space="preserve">🌙 أمانة لايف | AmanahLife</t>
  </si>
  <si>
    <t xml:space="preserve">── الأساس ──</t>
  </si>
  <si>
    <t xml:space="preserve">التعليمات</t>
  </si>
  <si>
    <t xml:space="preserve">🔹 كيفية الاستخدام  ·  How to Use</t>
  </si>
  <si>
    <t xml:space="preserve">الإعدادات</t>
  </si>
  <si>
    <t xml:space="preserve">1</t>
  </si>
  <si>
    <t xml:space="preserve">ابدأ بصفحة الإعدادات  ·  Start with the Setup page</t>
  </si>
  <si>
    <t xml:space="preserve">أدخل اسم العائلة والعملة وبيانات الشهر</t>
  </si>
  <si>
    <t xml:space="preserve">Enter family name, currency, and month data</t>
  </si>
  <si>
    <t xml:space="preserve">الملف العائلي</t>
  </si>
  <si>
    <t xml:space="preserve">2</t>
  </si>
  <si>
    <t xml:space="preserve">الملف العائلي  ·  Family Profile</t>
  </si>
  <si>
    <t xml:space="preserve">أدخل بيانات أفراد العائلة والدخل الشهري</t>
  </si>
  <si>
    <t xml:space="preserve">Enter family members data and monthly income</t>
  </si>
  <si>
    <t xml:space="preserve">أهدافي السنوية</t>
  </si>
  <si>
    <t xml:space="preserve">3</t>
  </si>
  <si>
    <t xml:space="preserve">الميزانية الشهرية  ·  Monthly Budget</t>
  </si>
  <si>
    <t xml:space="preserve">خصص ميزانيتك على الفئات المختلفة</t>
  </si>
  <si>
    <t xml:space="preserve">Allocate your budget across categories</t>
  </si>
  <si>
    <t xml:space="preserve">── المالية ──</t>
  </si>
  <si>
    <t xml:space="preserve">4</t>
  </si>
  <si>
    <t xml:space="preserve">تتبع المصروفات  ·  Expense Tracker</t>
  </si>
  <si>
    <t xml:space="preserve">سجل مصروفاتك اليومية هنا</t>
  </si>
  <si>
    <t xml:space="preserve">Record your daily expenses here</t>
  </si>
  <si>
    <t xml:space="preserve">الميزانية الشهرية</t>
  </si>
  <si>
    <t xml:space="preserve">5</t>
  </si>
  <si>
    <t xml:space="preserve">حاسبة الزكاة  ·  Zakat Calculator</t>
  </si>
  <si>
    <t xml:space="preserve">احسب زكاتك وتتبع أدائها</t>
  </si>
  <si>
    <t xml:space="preserve">Calculate your Zakat and track payments</t>
  </si>
  <si>
    <t xml:space="preserve">تتبع الدخل</t>
  </si>
  <si>
    <t xml:space="preserve">6</t>
  </si>
  <si>
    <t xml:space="preserve">مخطط رمضان  ·  Ramadan Planner</t>
  </si>
  <si>
    <t xml:space="preserve">خطط لرمضان مالياً وروحانياً</t>
  </si>
  <si>
    <t xml:space="preserve">Plan Ramadan financially and spiritually</t>
  </si>
  <si>
    <t xml:space="preserve">تتبع المصروفات</t>
  </si>
  <si>
    <t xml:space="preserve">7</t>
  </si>
  <si>
    <t xml:space="preserve">لوحة التحكم  ·  Dashboard</t>
  </si>
  <si>
    <t xml:space="preserve">راجع ملخصك المالي الشامل هنا</t>
  </si>
  <si>
    <t xml:space="preserve">Review your comprehensive financial summary</t>
  </si>
  <si>
    <t xml:space="preserve">صندوق الطوارئ</t>
  </si>
  <si>
    <t xml:space="preserve">أهداف الادخار</t>
  </si>
  <si>
    <t xml:space="preserve">⚠️ ملاحظات مهمة  ·  Important Notes</t>
  </si>
  <si>
    <t xml:space="preserve">ثروتي الصافية</t>
  </si>
  <si>
    <t xml:space="preserve">✅</t>
  </si>
  <si>
    <t xml:space="preserve">هذا النظام خالٍ تماماً من الربا والفوائد</t>
  </si>
  <si>
    <t xml:space="preserve">This system is 100% Riba-free</t>
  </si>
  <si>
    <t xml:space="preserve">── الإسلامية ──</t>
  </si>
  <si>
    <t xml:space="preserve">جميع فئات الاستثمار حلال معتمدة</t>
  </si>
  <si>
    <t xml:space="preserve">All investment categories are Halal-certified</t>
  </si>
  <si>
    <t xml:space="preserve">حاسبة الزكاة</t>
  </si>
  <si>
    <t xml:space="preserve">يدعم العملات الخليجية والعالمية</t>
  </si>
  <si>
    <t xml:space="preserve">Supports Gulf and international currencies</t>
  </si>
  <si>
    <t xml:space="preserve">تتبع الصدقات</t>
  </si>
  <si>
    <t xml:space="preserve">تقويم هجري وميلادي مدمج</t>
  </si>
  <si>
    <t xml:space="preserve">Built-in Hijri and Gregorian calendar support</t>
  </si>
  <si>
    <t xml:space="preserve">الاستثمار الحلال</t>
  </si>
  <si>
    <t xml:space="preserve">🔒</t>
  </si>
  <si>
    <t xml:space="preserve">لا تشارك الملف مع أشخاص غير موثوقين</t>
  </si>
  <si>
    <t xml:space="preserve">Do not share this file with untrusted persons</t>
  </si>
  <si>
    <t xml:space="preserve">المهر والزواج</t>
  </si>
  <si>
    <t xml:space="preserve">💡</t>
  </si>
  <si>
    <t xml:space="preserve">قم بعمل نسخة احتياطية شهرياً</t>
  </si>
  <si>
    <t xml:space="preserve">Make a backup copy monthly</t>
  </si>
  <si>
    <t xml:space="preserve">شراء المنزل الحلال</t>
  </si>
  <si>
    <t xml:space="preserve">── رمضان ──</t>
  </si>
  <si>
    <t xml:space="preserve">مخطط رمضان</t>
  </si>
  <si>
    <t xml:space="preserve">ميزانية العيد</t>
  </si>
  <si>
    <t xml:space="preserve">── لوحة التحكم ──</t>
  </si>
  <si>
    <t xml:space="preserve">لوحة التحكم</t>
  </si>
  <si>
    <t xml:space="preserve">الملخص السنوي</t>
  </si>
  <si>
    <t xml:space="preserve">⚙️  الإعدادات والتخصيص  ·  Setup &amp; Personalization</t>
  </si>
  <si>
    <t xml:space="preserve">👨‍👩‍👧‍👦  بيانات العائلة  ·  Family Information</t>
  </si>
  <si>
    <t xml:space="preserve">اسم العائلة  ·  Family Name</t>
  </si>
  <si>
    <t xml:space="preserve">عائلة الأحمد</t>
  </si>
  <si>
    <t xml:space="preserve">← أدخل القيمة هنا  ·  Enter value here</t>
  </si>
  <si>
    <t xml:space="preserve">عدد أفراد الأسرة  ·  Family Members</t>
  </si>
  <si>
    <t xml:space="preserve">الدولة  ·  Country</t>
  </si>
  <si>
    <t xml:space="preserve">المملكة العربية السعودية</t>
  </si>
  <si>
    <t xml:space="preserve">المدينة  ·  City</t>
  </si>
  <si>
    <t xml:space="preserve">الرياض</t>
  </si>
  <si>
    <t xml:space="preserve">💰  إعدادات المالية  ·  Financial Settings</t>
  </si>
  <si>
    <t xml:space="preserve">العملة الرئيسية  ·  Primary Currency</t>
  </si>
  <si>
    <t xml:space="preserve">ريال سعودي SAR</t>
  </si>
  <si>
    <t xml:space="preserve">رمز العملة  ·  Currency Symbol</t>
  </si>
  <si>
    <t xml:space="preserve">ر.س</t>
  </si>
  <si>
    <t xml:space="preserve">الدخل الشهري الإجمالي  ·  Total Monthly Income</t>
  </si>
  <si>
    <t xml:space="preserve">نسبة الادخار المستهدفة  ·  Target Savings Rate</t>
  </si>
  <si>
    <t xml:space="preserve">🌙  إعدادات إسلامية  ·  Islamic Settings</t>
  </si>
  <si>
    <t xml:space="preserve">نصاب الزكاة (ذهب)  ·  Zakat Nisab (Gold)</t>
  </si>
  <si>
    <t xml:space="preserve">نسبة الزكاة  ·  Zakat Rate</t>
  </si>
  <si>
    <t xml:space="preserve">ميزانية رمضان الشهرية  ·  Ramadan Monthly Budget</t>
  </si>
  <si>
    <t xml:space="preserve">ميزانية العيد  ·  Eid Budget</t>
  </si>
  <si>
    <t xml:space="preserve">📅  إعدادات التاريخ  ·  Date Settings</t>
  </si>
  <si>
    <t xml:space="preserve">السنة الميلادية  ·  Gregorian Year</t>
  </si>
  <si>
    <t xml:space="preserve">السنة الهجرية  ·  Hijri Year</t>
  </si>
  <si>
    <t xml:space="preserve">شهر البداية  ·  Start Month</t>
  </si>
  <si>
    <t xml:space="preserve">يناير / January</t>
  </si>
  <si>
    <t xml:space="preserve">يوم الراتب  ·  Salary Day</t>
  </si>
  <si>
    <t xml:space="preserve">👨‍👩‍👧‍👦  الملف العائلي  ·  Family Profile</t>
  </si>
  <si>
    <t xml:space="preserve">👤  أفراد العائلة  ·  Family Members</t>
  </si>
  <si>
    <t xml:space="preserve">الاسم
Name</t>
  </si>
  <si>
    <t xml:space="preserve">العلاقة
Relation</t>
  </si>
  <si>
    <t xml:space="preserve">العمر
Age</t>
  </si>
  <si>
    <t xml:space="preserve">الدخل الشهري
Monthly Income</t>
  </si>
  <si>
    <t xml:space="preserve">ملاحظات
Notes</t>
  </si>
  <si>
    <t xml:space="preserve">الزكاة مطبقة
Zakat Applies</t>
  </si>
  <si>
    <t xml:space="preserve">أحمد محمد الأحمد</t>
  </si>
  <si>
    <t xml:space="preserve">رب الأسرة / Head</t>
  </si>
  <si>
    <t xml:space="preserve">الدخل الأساسي</t>
  </si>
  <si>
    <t xml:space="preserve">نعم / Yes</t>
  </si>
  <si>
    <t xml:space="preserve">فاطمة أحمد</t>
  </si>
  <si>
    <t xml:space="preserve">الزوجة / Wife</t>
  </si>
  <si>
    <t xml:space="preserve">دخل العمل الحر</t>
  </si>
  <si>
    <t xml:space="preserve">محمد أحمد</t>
  </si>
  <si>
    <t xml:space="preserve">الابن / Son</t>
  </si>
  <si>
    <t xml:space="preserve">طالب / Student</t>
  </si>
  <si>
    <t xml:space="preserve">لا / No</t>
  </si>
  <si>
    <t xml:space="preserve">نورة أحمد</t>
  </si>
  <si>
    <t xml:space="preserve">البنت / Daughter</t>
  </si>
  <si>
    <t xml:space="preserve">طالبة / Student</t>
  </si>
  <si>
    <t xml:space="preserve">عمر أحمد</t>
  </si>
  <si>
    <t xml:space="preserve">💰  ملخص الدخل  ·  Income Summary</t>
  </si>
  <si>
    <t xml:space="preserve">إجمالي الدخل الشهري  ·  Total Monthly Income</t>
  </si>
  <si>
    <t xml:space="preserve">صافي الدخل بعد الزكاة  ·  Net Income After Zakat</t>
  </si>
  <si>
    <t xml:space="preserve">المدخرات المستهدفة  ·  Target Savings</t>
  </si>
  <si>
    <t xml:space="preserve">الميزانية المتاحة  ·  Available Budget</t>
  </si>
  <si>
    <t xml:space="preserve">🎯  أهدافي السنوية  ·  Annual Goals</t>
  </si>
  <si>
    <t xml:space="preserve">أهدافي المالية السنوية  ·  My 2025 / 1446هـ Financial Goals</t>
  </si>
  <si>
    <t xml:space="preserve">الهدف
Goal</t>
  </si>
  <si>
    <t xml:space="preserve">الهدف المالي
Target</t>
  </si>
  <si>
    <t xml:space="preserve">المدخر
Saved</t>
  </si>
  <si>
    <t xml:space="preserve">نسبة الإنجاز
Progress</t>
  </si>
  <si>
    <t xml:space="preserve">الحالة
Status</t>
  </si>
  <si>
    <t xml:space="preserve">🏠</t>
  </si>
  <si>
    <t xml:space="preserve">شراء منزل العائلة
Family Home Purchase</t>
  </si>
  <si>
    <t xml:space="preserve">🔄 قيد التنفيذ</t>
  </si>
  <si>
    <t xml:space="preserve">✈️</t>
  </si>
  <si>
    <t xml:space="preserve">صندوق السفر العائلي
Family Travel Fund</t>
  </si>
  <si>
    <t xml:space="preserve">📚</t>
  </si>
  <si>
    <t xml:space="preserve">تعليم الأبناء
Children Education</t>
  </si>
  <si>
    <t xml:space="preserve">🕌</t>
  </si>
  <si>
    <t xml:space="preserve">الحج والعمرة
Hajj &amp; Umrah Fund</t>
  </si>
  <si>
    <t xml:space="preserve">⏳ في البداية</t>
  </si>
  <si>
    <t xml:space="preserve">💍</t>
  </si>
  <si>
    <t xml:space="preserve">زواج الأبناء
Children Wedding Fund</t>
  </si>
  <si>
    <t xml:space="preserve">🚗</t>
  </si>
  <si>
    <t xml:space="preserve">استبدال السيارة
Car Replacement</t>
  </si>
  <si>
    <t xml:space="preserve">💊</t>
  </si>
  <si>
    <t xml:space="preserve">طوارئ طبية
Medical Emergency</t>
  </si>
  <si>
    <t xml:space="preserve">✅ مكتمل</t>
  </si>
  <si>
    <t xml:space="preserve">📊  الميزانية الشهرية  ·  Monthly Budget</t>
  </si>
  <si>
    <t xml:space="preserve">💰  الدخل الشهري</t>
  </si>
  <si>
    <t xml:space="preserve">📋  المخصص</t>
  </si>
  <si>
    <t xml:space="preserve">✅  المتبقي</t>
  </si>
  <si>
    <t xml:space="preserve">Monthly Income</t>
  </si>
  <si>
    <t xml:space="preserve">Allocated</t>
  </si>
  <si>
    <t xml:space="preserve">Remaining</t>
  </si>
  <si>
    <t xml:space="preserve">الفئة
Category</t>
  </si>
  <si>
    <t xml:space="preserve">المخصص
Budgeted</t>
  </si>
  <si>
    <t xml:space="preserve">المنفق
Spent</t>
  </si>
  <si>
    <t xml:space="preserve">المتبقي
Remaining</t>
  </si>
  <si>
    <t xml:space="preserve">النسبة
%</t>
  </si>
  <si>
    <t xml:space="preserve">السكن والإيجار  ·  Housing &amp; Rent</t>
  </si>
  <si>
    <t xml:space="preserve">🛒</t>
  </si>
  <si>
    <t xml:space="preserve">الطعام والبقالة  ·  Food &amp; Groceries</t>
  </si>
  <si>
    <t xml:space="preserve">المواصلات  ·  Transportation</t>
  </si>
  <si>
    <t xml:space="preserve">الكهرباء والمياه  ·  Utilities</t>
  </si>
  <si>
    <t xml:space="preserve">📱</t>
  </si>
  <si>
    <t xml:space="preserve">الاتصالات والإنترنت  ·  Communications</t>
  </si>
  <si>
    <t xml:space="preserve">🏥</t>
  </si>
  <si>
    <t xml:space="preserve">الصحة والطب  ·  Health &amp; Medical</t>
  </si>
  <si>
    <t xml:space="preserve">التعليم  ·  Education</t>
  </si>
  <si>
    <t xml:space="preserve">👗</t>
  </si>
  <si>
    <t xml:space="preserve">الملابس  ·  Clothing</t>
  </si>
  <si>
    <t xml:space="preserve">🎉</t>
  </si>
  <si>
    <t xml:space="preserve">الترفيه  ·  Entertainment</t>
  </si>
  <si>
    <t xml:space="preserve">الزكاة والصدقات  ·  Zakat &amp; Sadaqah</t>
  </si>
  <si>
    <t xml:space="preserve">🏦</t>
  </si>
  <si>
    <t xml:space="preserve">الادخار  ·  Savings</t>
  </si>
  <si>
    <t xml:space="preserve">🆘</t>
  </si>
  <si>
    <t xml:space="preserve">طوارئ  ·  Emergency Fund</t>
  </si>
  <si>
    <t xml:space="preserve">👨‍👩‍👧</t>
  </si>
  <si>
    <t xml:space="preserve">دعم العائلة  ·  Family Support</t>
  </si>
  <si>
    <t xml:space="preserve">🎁</t>
  </si>
  <si>
    <t xml:space="preserve">هدايا ومناسبات  ·  Gifts &amp; Occasions</t>
  </si>
  <si>
    <t xml:space="preserve">📦</t>
  </si>
  <si>
    <t xml:space="preserve">متنوع  ·  Miscellaneous</t>
  </si>
  <si>
    <t xml:space="preserve">الإجمالي  ·  Total</t>
  </si>
  <si>
    <t xml:space="preserve">💰  تتبع الدخل  ·  Income Tracker</t>
  </si>
  <si>
    <t xml:space="preserve">التاريخ
Date</t>
  </si>
  <si>
    <t xml:space="preserve">المصدر
Source</t>
  </si>
  <si>
    <t xml:space="preserve">النوع
Type</t>
  </si>
  <si>
    <t xml:space="preserve">المبلغ
Amount</t>
  </si>
  <si>
    <t xml:space="preserve">شهر
Month</t>
  </si>
  <si>
    <t xml:space="preserve">2025-01-01</t>
  </si>
  <si>
    <t xml:space="preserve">الراتب الأساسي - Basic Salary</t>
  </si>
  <si>
    <t xml:space="preserve">راتب / Salary</t>
  </si>
  <si>
    <t xml:space="preserve">أحمد</t>
  </si>
  <si>
    <t xml:space="preserve">يناير</t>
  </si>
  <si>
    <t xml:space="preserve">2025-01-05</t>
  </si>
  <si>
    <t xml:space="preserve">عمل حر - Freelance</t>
  </si>
  <si>
    <t xml:space="preserve">عمل حر / Freelance</t>
  </si>
  <si>
    <t xml:space="preserve">فاطمة</t>
  </si>
  <si>
    <t xml:space="preserve">2025-01-10</t>
  </si>
  <si>
    <t xml:space="preserve">إيجار عقار - Property Rent</t>
  </si>
  <si>
    <t xml:space="preserve">إيجار / Rental</t>
  </si>
  <si>
    <t xml:space="preserve">عقار الرياض</t>
  </si>
  <si>
    <t xml:space="preserve">2025-01-15</t>
  </si>
  <si>
    <t xml:space="preserve">مكافأة - Bonus</t>
  </si>
  <si>
    <t xml:space="preserve">مكافأة / Bonus</t>
  </si>
  <si>
    <t xml:space="preserve">مكافأة الأداء</t>
  </si>
  <si>
    <t xml:space="preserve">2025-01-20</t>
  </si>
  <si>
    <t xml:space="preserve">أرباح استثمار حلال</t>
  </si>
  <si>
    <t xml:space="preserve">استثمار / Investment</t>
  </si>
  <si>
    <t xml:space="preserve">صكوك</t>
  </si>
  <si>
    <t xml:space="preserve">2025-02-01</t>
  </si>
  <si>
    <t xml:space="preserve">فبراير</t>
  </si>
  <si>
    <t xml:space="preserve">2025-02-05</t>
  </si>
  <si>
    <t xml:space="preserve">إجمالي الدخل  ·  Total Income</t>
  </si>
  <si>
    <t xml:space="preserve">💸  تتبع المصروفات  ·  Expense Tracker</t>
  </si>
  <si>
    <t xml:space="preserve">الوصف
Description</t>
  </si>
  <si>
    <t xml:space="preserve">الدفع
Payment Method</t>
  </si>
  <si>
    <t xml:space="preserve">2025-01-02</t>
  </si>
  <si>
    <t xml:space="preserve">إيجار الشقة - Apartment Rent</t>
  </si>
  <si>
    <t xml:space="preserve">السكن</t>
  </si>
  <si>
    <t xml:space="preserve">تحويل بنكي</t>
  </si>
  <si>
    <t xml:space="preserve">2025-01-03</t>
  </si>
  <si>
    <t xml:space="preserve">بقالة اسواق العثيم</t>
  </si>
  <si>
    <t xml:space="preserve">الطعام</t>
  </si>
  <si>
    <t xml:space="preserve">بطاقة</t>
  </si>
  <si>
    <t xml:space="preserve">أسبوعي</t>
  </si>
  <si>
    <t xml:space="preserve">وقود السيارة</t>
  </si>
  <si>
    <t xml:space="preserve">المواصلات</t>
  </si>
  <si>
    <t xml:space="preserve">نقد</t>
  </si>
  <si>
    <t xml:space="preserve">2025-01-07</t>
  </si>
  <si>
    <t xml:space="preserve">فاتورة الكهرباء</t>
  </si>
  <si>
    <t xml:space="preserve">الكهرباء</t>
  </si>
  <si>
    <t xml:space="preserve">تحويل</t>
  </si>
  <si>
    <t xml:space="preserve">2025-01-08</t>
  </si>
  <si>
    <t xml:space="preserve">فاتورة الجوال</t>
  </si>
  <si>
    <t xml:space="preserve">الاتصالات</t>
  </si>
  <si>
    <t xml:space="preserve">STC</t>
  </si>
  <si>
    <t xml:space="preserve">كتب مدرسية</t>
  </si>
  <si>
    <t xml:space="preserve">التعليم</t>
  </si>
  <si>
    <t xml:space="preserve">أبناء</t>
  </si>
  <si>
    <t xml:space="preserve">2025-01-12</t>
  </si>
  <si>
    <t xml:space="preserve">صدقة شهرية</t>
  </si>
  <si>
    <t xml:space="preserve">الزكاة</t>
  </si>
  <si>
    <t xml:space="preserve">لمحتاج</t>
  </si>
  <si>
    <t xml:space="preserve">2025-01-14</t>
  </si>
  <si>
    <t xml:space="preserve">زيارة طبيب</t>
  </si>
  <si>
    <t xml:space="preserve">الصحة</t>
  </si>
  <si>
    <t xml:space="preserve">بقالة</t>
  </si>
  <si>
    <t xml:space="preserve">2025-01-18</t>
  </si>
  <si>
    <t xml:space="preserve">ملابس أطفال</t>
  </si>
  <si>
    <t xml:space="preserve">الملابس</t>
  </si>
  <si>
    <t xml:space="preserve">موسم</t>
  </si>
  <si>
    <t xml:space="preserve">ترفيه عائلي</t>
  </si>
  <si>
    <t xml:space="preserve">الترفيه</t>
  </si>
  <si>
    <t xml:space="preserve">سينما</t>
  </si>
  <si>
    <t xml:space="preserve">2025-01-22</t>
  </si>
  <si>
    <t xml:space="preserve">هدية زفاف</t>
  </si>
  <si>
    <t xml:space="preserve">هدايا</t>
  </si>
  <si>
    <t xml:space="preserve">2025-01-25</t>
  </si>
  <si>
    <t xml:space="preserve">وقود</t>
  </si>
  <si>
    <t xml:space="preserve">2025-01-28</t>
  </si>
  <si>
    <t xml:space="preserve">متنوع</t>
  </si>
  <si>
    <t xml:space="preserve">إجمالي المصروفات  ·  Total Expenses</t>
  </si>
  <si>
    <t xml:space="preserve">🆘  صندوق الطوارئ  ·  Emergency Fund</t>
  </si>
  <si>
    <t xml:space="preserve">💡 الهدف الموصى به: 6 أشهر من المصروفات  ·  Recommended Goal: 6 Months of Expenses</t>
  </si>
  <si>
    <t xml:space="preserve">المصروفات الشهرية المتوقعة  ·  Expected Monthly Expenses</t>
  </si>
  <si>
    <t xml:space="preserve">عدد الأشهر المستهدفة  ·  Target Months</t>
  </si>
  <si>
    <t xml:space="preserve">الهدف الإجمالي  ·  Total Target</t>
  </si>
  <si>
    <t xml:space="preserve">المبلغ المدخر حالياً  ·  Currently Saved</t>
  </si>
  <si>
    <t xml:space="preserve">الباقي للهدف  ·  Remaining to Goal</t>
  </si>
  <si>
    <t xml:space="preserve">نسبة الاكتمال  ·  Completion Rate</t>
  </si>
  <si>
    <t xml:space="preserve">📋 سجل المعاملات  ·  Transaction History</t>
  </si>
  <si>
    <t xml:space="preserve">الرصيد
Balance</t>
  </si>
  <si>
    <t xml:space="preserve">إيداع / Deposit</t>
  </si>
  <si>
    <t xml:space="preserve">بداية الشهر</t>
  </si>
  <si>
    <t xml:space="preserve">2024-12-01</t>
  </si>
  <si>
    <t xml:space="preserve">2024-11-15</t>
  </si>
  <si>
    <t xml:space="preserve">سحب طارئ / Withdrawal</t>
  </si>
  <si>
    <t xml:space="preserve">تصليح سيارة</t>
  </si>
  <si>
    <t xml:space="preserve">2024-11-01</t>
  </si>
  <si>
    <t xml:space="preserve">2024-10-01</t>
  </si>
  <si>
    <t xml:space="preserve">🏦  أهداف الادخار  ·  Savings Goals</t>
  </si>
  <si>
    <t xml:space="preserve">المستهدف
Target</t>
  </si>
  <si>
    <t xml:space="preserve">التقدم
Progress</t>
  </si>
  <si>
    <t xml:space="preserve">الموعد
Deadline</t>
  </si>
  <si>
    <t xml:space="preserve">🏠 شراء منزل / Home Purchase</t>
  </si>
  <si>
    <t xml:space="preserve">2026-06-01</t>
  </si>
  <si>
    <t xml:space="preserve">🔄 جارٍ</t>
  </si>
  <si>
    <t xml:space="preserve">✈️ سفر عائلي / Family Trip</t>
  </si>
  <si>
    <t xml:space="preserve">2025-07-01</t>
  </si>
  <si>
    <t xml:space="preserve">📚 تعليم أبناء / Education</t>
  </si>
  <si>
    <t xml:space="preserve">2026-01-01</t>
  </si>
  <si>
    <t xml:space="preserve">🕌 حج وعمرة / Hajj &amp; Umrah</t>
  </si>
  <si>
    <t xml:space="preserve">2027-01-01</t>
  </si>
  <si>
    <t xml:space="preserve">⏳ بدء</t>
  </si>
  <si>
    <t xml:space="preserve">🚗 سيارة جديدة / New Car</t>
  </si>
  <si>
    <t xml:space="preserve">2026-12-01</t>
  </si>
  <si>
    <t xml:space="preserve">💊 طوارئ طبية / Medical</t>
  </si>
  <si>
    <t xml:space="preserve">مكتمل</t>
  </si>
  <si>
    <t xml:space="preserve">💍 زواج الأبناء / Wedding</t>
  </si>
  <si>
    <t xml:space="preserve">2030-01-01</t>
  </si>
  <si>
    <t xml:space="preserve">💎  ثروتي الصافية  ·  Net Worth</t>
  </si>
  <si>
    <t xml:space="preserve">📈 الأصول  ·  Assets</t>
  </si>
  <si>
    <t xml:space="preserve">العقارات / Real Estate</t>
  </si>
  <si>
    <t xml:space="preserve">المدخرات البنكية / Bank Savings</t>
  </si>
  <si>
    <t xml:space="preserve">📊</t>
  </si>
  <si>
    <t xml:space="preserve">استثمارات حلال / Halal Investments</t>
  </si>
  <si>
    <t xml:space="preserve">🥇</t>
  </si>
  <si>
    <t xml:space="preserve">الذهب / Gold</t>
  </si>
  <si>
    <t xml:space="preserve">السيارات / Vehicles</t>
  </si>
  <si>
    <t xml:space="preserve">أصول أخرى / Other Assets</t>
  </si>
  <si>
    <t xml:space="preserve">إجمالي الأصول  ·  Total Assets</t>
  </si>
  <si>
    <t xml:space="preserve">📉 الالتزامات  ·  Liabilities</t>
  </si>
  <si>
    <t xml:space="preserve">تمويل عقاري إسلامي / Islamic Home Finance</t>
  </si>
  <si>
    <t xml:space="preserve">تمويل سيارة حلال / Halal Car Finance</t>
  </si>
  <si>
    <t xml:space="preserve">التزامات أخرى / Other Liabilities</t>
  </si>
  <si>
    <t xml:space="preserve">إجمالي الالتزامات  ·  Total Liabilities</t>
  </si>
  <si>
    <t xml:space="preserve">💎 صافي الثروة  ·  Net Worth</t>
  </si>
  <si>
    <t xml:space="preserve">🕌  حاسبة الزكاة  ·  Zakat Calculator</t>
  </si>
  <si>
    <t xml:space="preserve">نصاب الزكاة: 85 جرام ذهب ≈ 4,250 ريال  ·  Nisab: 85g Gold ≈ SAR 4,250</t>
  </si>
  <si>
    <t xml:space="preserve">📋 أصول الزكاة  ·  Zakatable Assets</t>
  </si>
  <si>
    <t xml:space="preserve">نوع الأصل
Asset Type</t>
  </si>
  <si>
    <t xml:space="preserve">القيمة
Value</t>
  </si>
  <si>
    <t xml:space="preserve">هل بلغ النصاب
Nisab Reached</t>
  </si>
  <si>
    <t xml:space="preserve">الزكاة المستحقة
Zakat Due</t>
  </si>
  <si>
    <t xml:space="preserve">💵 النقود والأرصدة البنكية / Cash &amp; Bank</t>
  </si>
  <si>
    <t xml:space="preserve">✅ نعم</t>
  </si>
  <si>
    <t xml:space="preserve">🥇 الذهب والفضة / Gold &amp; Silver</t>
  </si>
  <si>
    <t xml:space="preserve">📊 الاستثمارات الحلال / Halal Investments</t>
  </si>
  <si>
    <t xml:space="preserve">🏪 بضائع التجارة / Trade Goods</t>
  </si>
  <si>
    <t xml:space="preserve">❌ لا</t>
  </si>
  <si>
    <t xml:space="preserve">🏘️ عقارات للبيع / Properties for Sale</t>
  </si>
  <si>
    <t xml:space="preserve">💼 حسابات الأعمال / Business Accounts</t>
  </si>
  <si>
    <t xml:space="preserve">🌾 زكاة الزروع / Crops Zakat</t>
  </si>
  <si>
    <t xml:space="preserve">🕌 إجمالي الزكاة المستحقة  ·  Total Zakat Due</t>
  </si>
  <si>
    <t xml:space="preserve">📅 متى ستؤدي زكاتك؟  ·  When Will You Pay Your Zakat?</t>
  </si>
  <si>
    <t xml:space="preserve">تاريخ الحول  ·  Zakat Due Date</t>
  </si>
  <si>
    <t xml:space="preserve">2025-04-01</t>
  </si>
  <si>
    <t xml:space="preserve">المبلغ المدفوع  ·  Amount Paid</t>
  </si>
  <si>
    <t xml:space="preserve">تاريخ الدفع  ·  Payment Date</t>
  </si>
  <si>
    <t xml:space="preserve">جهة الإيتاء  ·  Paid To</t>
  </si>
  <si>
    <t xml:space="preserve">صندوق الزكاة السعودي</t>
  </si>
  <si>
    <t xml:space="preserve">الحالة  ·  Status</t>
  </si>
  <si>
    <t xml:space="preserve">✅ مؤداة</t>
  </si>
  <si>
    <t xml:space="preserve">🤲  تتبع الصدقات  ·  Sadaqah Tracker</t>
  </si>
  <si>
    <t xml:space="preserve">"وَمَا تُنفِقُوا مِن خَيْرٍ فَإِنَّ اللَّهَ بِهِ عَلِيمٌ"  ·  Al-Baqarah 2:273</t>
  </si>
  <si>
    <t xml:space="preserve">هدف الصدقة الشهري  ·  Monthly Sadaqah Goal</t>
  </si>
  <si>
    <t xml:space="preserve">المُنفق هذا الشهر  ·  Spent This Month</t>
  </si>
  <si>
    <t xml:space="preserve">المتبقي للهدف  ·  Remaining</t>
  </si>
  <si>
    <t xml:space="preserve">الجهة
Recipient</t>
  </si>
  <si>
    <t xml:space="preserve">صدقة يومية / Daily Sadaqah</t>
  </si>
  <si>
    <t xml:space="preserve">صدقة عامة</t>
  </si>
  <si>
    <t xml:space="preserve">فقراء الحي</t>
  </si>
  <si>
    <t xml:space="preserve">إطعام / Feeding</t>
  </si>
  <si>
    <t xml:space="preserve">إطعام</t>
  </si>
  <si>
    <t xml:space="preserve">مطعم الرحمة</t>
  </si>
  <si>
    <t xml:space="preserve">كسوة أيتام / Orphan Clothing</t>
  </si>
  <si>
    <t xml:space="preserve">أيتام</t>
  </si>
  <si>
    <t xml:space="preserve">دار الأيتام</t>
  </si>
  <si>
    <t xml:space="preserve">دعم طالب / Student Support</t>
  </si>
  <si>
    <t xml:space="preserve">تعليم</t>
  </si>
  <si>
    <t xml:space="preserve">طالب محتاج</t>
  </si>
  <si>
    <t xml:space="preserve">بناء مسجد / Mosque Building</t>
  </si>
  <si>
    <t xml:space="preserve">بناء مساجد</t>
  </si>
  <si>
    <t xml:space="preserve">مشروع المسجد</t>
  </si>
  <si>
    <t xml:space="preserve">صدقة جارية / Ongoing Charity</t>
  </si>
  <si>
    <t xml:space="preserve">صدقة جارية</t>
  </si>
  <si>
    <t xml:space="preserve">بئر ماء</t>
  </si>
  <si>
    <t xml:space="preserve">📈  الاستثمار الحلال  ·  Halal Investments</t>
  </si>
  <si>
    <t xml:space="preserve">🌙 جميع الاستثمارات موافقة للشريعة الإسلامية  ·  All Investments are Sharia-Compliant</t>
  </si>
  <si>
    <t xml:space="preserve">الاستثمار
Investment</t>
  </si>
  <si>
    <t xml:space="preserve">رأس المال
Capital</t>
  </si>
  <si>
    <t xml:space="preserve">القيمة الحالية
Current Value</t>
  </si>
  <si>
    <t xml:space="preserve">العائد
Return</t>
  </si>
  <si>
    <t xml:space="preserve">📊 صكوك حكومية / Government Sukuk</t>
  </si>
  <si>
    <t xml:space="preserve">7%</t>
  </si>
  <si>
    <t xml:space="preserve">✅ نشط</t>
  </si>
  <si>
    <t xml:space="preserve">🏢 صناديق عقارية / REIT Fund</t>
  </si>
  <si>
    <t xml:space="preserve">عقارات</t>
  </si>
  <si>
    <t xml:space="preserve">10%</t>
  </si>
  <si>
    <t xml:space="preserve">🥇 ذهب / Gold (Physical)</t>
  </si>
  <si>
    <t xml:space="preserve">معدن نفيس</t>
  </si>
  <si>
    <t xml:space="preserve">🌾 زراعة / Agriculture</t>
  </si>
  <si>
    <t xml:space="preserve">زراعة</t>
  </si>
  <si>
    <t xml:space="preserve">8%</t>
  </si>
  <si>
    <t xml:space="preserve">🔄 متابعة</t>
  </si>
  <si>
    <t xml:space="preserve">🏪 مشاركة / Musharaka Business</t>
  </si>
  <si>
    <t xml:space="preserve">مشاركة</t>
  </si>
  <si>
    <t xml:space="preserve">📱 تقنية حلال / Halal Tech</t>
  </si>
  <si>
    <t xml:space="preserve">أسهم حلال</t>
  </si>
  <si>
    <t xml:space="preserve">15%</t>
  </si>
  <si>
    <t xml:space="preserve">إجمالي المحفظة  ·  Total Portfolio</t>
  </si>
  <si>
    <t xml:space="preserve">🌙  مخطط رمضان المبارك  ·  Ramadan Planner</t>
  </si>
  <si>
    <t xml:space="preserve">رمضان 1446هـ  ·  Ramadan 1446 AH  ·  مارس 2025م</t>
  </si>
  <si>
    <t xml:space="preserve">💰  ميزانية رمضان  ·  Ramadan Budget Summary</t>
  </si>
  <si>
    <t xml:space="preserve">البند
Item</t>
  </si>
  <si>
    <t xml:space="preserve">الميزانية
Budget</t>
  </si>
  <si>
    <t xml:space="preserve">المُنفق
Spent</t>
  </si>
  <si>
    <t xml:space="preserve">مصروف الطعام / Food Budget</t>
  </si>
  <si>
    <t xml:space="preserve">🤲</t>
  </si>
  <si>
    <t xml:space="preserve">الصدقة والزكاة / Charity</t>
  </si>
  <si>
    <t xml:space="preserve">الهدايا / Gifts</t>
  </si>
  <si>
    <t xml:space="preserve">👕</t>
  </si>
  <si>
    <t xml:space="preserve">الملابس / Clothing</t>
  </si>
  <si>
    <t xml:space="preserve">اشتراك الإفطار / Iftar Events</t>
  </si>
  <si>
    <t xml:space="preserve">🌙</t>
  </si>
  <si>
    <t xml:space="preserve">متنوع رمضان / Misc</t>
  </si>
  <si>
    <t xml:space="preserve">📅  متابعة الثلاثين يوماً  ·  30-Day Tracker</t>
  </si>
  <si>
    <t xml:space="preserve">اليوم
Day</t>
  </si>
  <si>
    <t xml:space="preserve">الصوم
Fast</t>
  </si>
  <si>
    <t xml:space="preserve">القرآن
Quran</t>
  </si>
  <si>
    <t xml:space="preserve">الصدقة
Sadaqah</t>
  </si>
  <si>
    <t xml:space="preserve">الإنفاق
Spending</t>
  </si>
  <si>
    <t xml:space="preserve">دعاء اليوم
Dua</t>
  </si>
  <si>
    <t xml:space="preserve">يوم 1 / Day 1</t>
  </si>
  <si>
    <t xml:space="preserve">اللهم اجعلني من المتقين</t>
  </si>
  <si>
    <t xml:space="preserve">يوم 2 / Day 2</t>
  </si>
  <si>
    <t xml:space="preserve">اللهم ارزقني الصحة والعافية</t>
  </si>
  <si>
    <t xml:space="preserve">يوم 3 / Day 3</t>
  </si>
  <si>
    <t xml:space="preserve">اللهم اغفر لي ولوالدي</t>
  </si>
  <si>
    <t xml:space="preserve">يوم 4 / Day 4</t>
  </si>
  <si>
    <t xml:space="preserve">اللهم ارزقني الجنة</t>
  </si>
  <si>
    <t xml:space="preserve">يوم 5 / Day 5</t>
  </si>
  <si>
    <t xml:space="preserve">اللهم اجعلني من الشاكرين</t>
  </si>
  <si>
    <t xml:space="preserve">يوم 6 / Day 6</t>
  </si>
  <si>
    <t xml:space="preserve">يوم 7 / Day 7</t>
  </si>
  <si>
    <t xml:space="preserve">يوم 8 / Day 8</t>
  </si>
  <si>
    <t xml:space="preserve">يوم 9 / Day 9</t>
  </si>
  <si>
    <t xml:space="preserve">يوم 10 / Day 10</t>
  </si>
  <si>
    <t xml:space="preserve">يوم 11 / Day 11</t>
  </si>
  <si>
    <t xml:space="preserve">⭕</t>
  </si>
  <si>
    <t xml:space="preserve">يوم 12 / Day 12</t>
  </si>
  <si>
    <t xml:space="preserve">يوم 13 / Day 13</t>
  </si>
  <si>
    <t xml:space="preserve">يوم 14 / Day 14</t>
  </si>
  <si>
    <t xml:space="preserve">يوم 15 / Day 15</t>
  </si>
  <si>
    <t xml:space="preserve">🎉  ميزانية العيد المبارك  ·  Eid Al-Fitr Budget</t>
  </si>
  <si>
    <t xml:space="preserve">عيد الفطر المبارك 1446هـ  ·  Eid Al-Fitr 1446 AH</t>
  </si>
  <si>
    <t xml:space="preserve">👗 ملابس العيد / Eid Clothing</t>
  </si>
  <si>
    <t xml:space="preserve">🎁 هدايا للأطفال / Kids Gifts</t>
  </si>
  <si>
    <t xml:space="preserve">🍬 حلوى وتمر / Sweets &amp; Dates</t>
  </si>
  <si>
    <t xml:space="preserve">🍽️ وليمة العيد / Eid Feast</t>
  </si>
  <si>
    <t xml:space="preserve">💵 عيدية / Eidiya (Gifts Money)</t>
  </si>
  <si>
    <t xml:space="preserve">✈️ سفر العيد / Eid Travel</t>
  </si>
  <si>
    <t xml:space="preserve">🕌 زكاة الفطر / Zakat Al-Fitr</t>
  </si>
  <si>
    <t xml:space="preserve">📦 متنوع / Miscellaneous</t>
  </si>
  <si>
    <t xml:space="preserve">💍  المهر وتخطيط الزواج  ·  Mahr &amp; Marriage Planning</t>
  </si>
  <si>
    <t xml:space="preserve">"وَآتُوا النِّسَاءَ صَدُقَاتِهِنَّ نِحْلَةً"  ·  Al-Nisa 4:4</t>
  </si>
  <si>
    <t xml:space="preserve">💍 تفاصيل المهر  ·  Mahr Details</t>
  </si>
  <si>
    <t xml:space="preserve">المهر المعجل / Immediate Mahr</t>
  </si>
  <si>
    <t xml:space="preserve">مدفوع</t>
  </si>
  <si>
    <t xml:space="preserve">المهر المؤجل / Deferred Mahr</t>
  </si>
  <si>
    <t xml:space="preserve">مستحق عند الطلاق</t>
  </si>
  <si>
    <t xml:space="preserve">الشبكة / Engagement Jewelry</t>
  </si>
  <si>
    <t xml:space="preserve">💒 ميزانية حفل الزفاف  ·  Wedding Budget</t>
  </si>
  <si>
    <t xml:space="preserve">قاعة الأفراح / Wedding Venue</t>
  </si>
  <si>
    <t xml:space="preserve">الكاتر / Catering</t>
  </si>
  <si>
    <t xml:space="preserve">التصوير / Photography</t>
  </si>
  <si>
    <t xml:space="preserve">الديكور / Decoration</t>
  </si>
  <si>
    <t xml:space="preserve">فستان الزفاف / Wedding Dress</t>
  </si>
  <si>
    <t xml:space="preserve">الدعوات / Invitations</t>
  </si>
  <si>
    <t xml:space="preserve">الحلاق والتجميل / Hair &amp; Makeup</t>
  </si>
  <si>
    <t xml:space="preserve">متنوع / Miscellaneous</t>
  </si>
  <si>
    <t xml:space="preserve">🏠  خطة شراء المنزل الحلال  ·  Halal Home Ownership Planner</t>
  </si>
  <si>
    <t xml:space="preserve">🌙 تمويل عقاري إسلامي خالٍ من الربا  ·  100% Riba-Free Islamic Home Financing</t>
  </si>
  <si>
    <t xml:space="preserve">سعر المنزل المستهدف  ·  Target Home Price</t>
  </si>
  <si>
    <t xml:space="preserve">الدفعة الأولى المطلوبة (20%)  ·  Required Down Payment (20%)</t>
  </si>
  <si>
    <t xml:space="preserve">المبلغ المدخر للدفعة الأولى  ·  Saved for Down Payment</t>
  </si>
  <si>
    <t xml:space="preserve">المتبقي للدفعة الأولى  ·  Remaining for Down Payment</t>
  </si>
  <si>
    <t xml:space="preserve">نوع التمويل الإسلامي  ·  Islamic Finance Type</t>
  </si>
  <si>
    <t xml:space="preserve">مرابحة / Murabaha</t>
  </si>
  <si>
    <t xml:space="preserve">مدة التمويل (سنوات)  ·  Finance Term (Years)</t>
  </si>
  <si>
    <t xml:space="preserve">الدفعة الشهرية المتوقعة  ·  Expected Monthly Payment</t>
  </si>
  <si>
    <t xml:space="preserve">الهدف الزمني  ·  Target Date</t>
  </si>
  <si>
    <t xml:space="preserve">📊 تتبع الادخار للمنزل  ·  Home Savings Tracker</t>
  </si>
  <si>
    <t xml:space="preserve">🌙  أمانة لايف | AmanahLife  ·  لوحة التحكم الرئيسية  ·  Master Dashboard</t>
  </si>
  <si>
    <t xml:space="preserve">📊  مؤشرات الأداء الرئيسية  ·  Key Performance Indicators</t>
  </si>
  <si>
    <t xml:space="preserve">💰  إجمالي الدخل</t>
  </si>
  <si>
    <t xml:space="preserve">💸  إجمالي المصروفات</t>
  </si>
  <si>
    <t xml:space="preserve">🏦  المدخرات</t>
  </si>
  <si>
    <t xml:space="preserve">📈  نسبة الادخار</t>
  </si>
  <si>
    <t xml:space="preserve">Total Income</t>
  </si>
  <si>
    <t xml:space="preserve">Total Expenses</t>
  </si>
  <si>
    <t xml:space="preserve">Savings</t>
  </si>
  <si>
    <t xml:space="preserve">Savings Rate</t>
  </si>
  <si>
    <t xml:space="preserve">🕌  الزكاة المستحقة</t>
  </si>
  <si>
    <t xml:space="preserve">🆘  صندوق الطوارئ</t>
  </si>
  <si>
    <t xml:space="preserve">💎  الثروة الصافية</t>
  </si>
  <si>
    <t xml:space="preserve">🤲  الصدقات</t>
  </si>
  <si>
    <t xml:space="preserve">Zakat Due</t>
  </si>
  <si>
    <t xml:space="preserve">Emergency Fund</t>
  </si>
  <si>
    <t xml:space="preserve">Net Worth</t>
  </si>
  <si>
    <t xml:space="preserve">Sadaqah</t>
  </si>
  <si>
    <t xml:space="preserve">📈  الرسوم البيانية  ·  Analytics Charts</t>
  </si>
  <si>
    <t xml:space="preserve">الفئة</t>
  </si>
  <si>
    <t xml:space="preserve">المبلغ</t>
  </si>
  <si>
    <t xml:space="preserve">الشهر</t>
  </si>
  <si>
    <t xml:space="preserve">الدخل</t>
  </si>
  <si>
    <t xml:space="preserve">المصروف</t>
  </si>
  <si>
    <t xml:space="preserve">🌙 أمانة لايف | AmanahLife — نظام مالي إسلامي شامل خالٍ من الربا  ·  Riba-Free Islamic Family Financial System  ·  Designed for Muslim Families Globally</t>
  </si>
  <si>
    <t xml:space="preserve">مارس</t>
  </si>
  <si>
    <t xml:space="preserve">أبريل</t>
  </si>
  <si>
    <t xml:space="preserve">الادخار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</si>
  <si>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</si>
  <si>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</si>
  <si>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</si>
  <si>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</si>
  <si>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</si>
  <si>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</si>
  <si>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</si>
  <si>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</si>
  <si>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المدخرات</t>
  </si>
  <si>
    <t xml:space="preserve">الهدف</t>
  </si>
  <si>
    <t xml:space="preserve">نسبة الإنجاز</t>
  </si>
  <si>
    <t xml:space="preserve">منزل</t>
  </si>
  <si>
    <t xml:space="preserve">سفر</t>
  </si>
  <si>
    <t xml:space="preserve">حج</t>
  </si>
  <si>
    <t xml:space="preserve">سيارة</t>
  </si>
  <si>
    <t xml:space="preserve">زواج</t>
  </si>
  <si>
    <t xml:space="preserve">📋  الملخص السنوي  ·  Annual Summary</t>
  </si>
  <si>
    <t xml:space="preserve">📅  ملخص شهري  ·  Monthly Summary  ·  2025م / 1446هـ</t>
  </si>
  <si>
    <t xml:space="preserve">الشهر
Month</t>
  </si>
  <si>
    <t xml:space="preserve">الدخل
Income</t>
  </si>
  <si>
    <t xml:space="preserve">المصروف
Expenses</t>
  </si>
  <si>
    <t xml:space="preserve">المدخرات
Savings</t>
  </si>
  <si>
    <t xml:space="preserve">الزكاة
Zakat</t>
  </si>
  <si>
    <t xml:space="preserve">فبراير / February</t>
  </si>
  <si>
    <t xml:space="preserve">مارس / March</t>
  </si>
  <si>
    <t xml:space="preserve">أبريل / April</t>
  </si>
  <si>
    <t xml:space="preserve">مايو / May</t>
  </si>
  <si>
    <t xml:space="preserve">يونيو / June</t>
  </si>
  <si>
    <t xml:space="preserve">يوليو / July</t>
  </si>
  <si>
    <t xml:space="preserve">أغسطس / August</t>
  </si>
  <si>
    <t xml:space="preserve">سبتمبر / September</t>
  </si>
  <si>
    <t xml:space="preserve">أكتوبر / October</t>
  </si>
  <si>
    <t xml:space="preserve">نوفمبر / November</t>
  </si>
  <si>
    <t xml:space="preserve">ديسمبر / December</t>
  </si>
  <si>
    <t xml:space="preserve">الإجمالي السنوي  ·  Annual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</si>
</sst>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General"/>
  </numFmts>
  <fonts count="7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8A96B"/>
      <name val="Cairo"/>
      <family val="0"/>
      <charset val="1"/>
    </font>
    <font>
      <sz val="10"/>
      <color rgb="FFE6D3A3"/>
      <name val="Cairo"/>
      <family val="0"/>
      <charset val="1"/>
    </font>
    <font>
      <b val="true"/>
      <sz val="10"/>
      <color rgb="FFC8A96B"/>
      <name val="Cairo"/>
      <family val="0"/>
      <charset val="1"/>
    </font>
    <font>
      <b val="true"/>
      <sz val="9"/>
      <color rgb="FFE6D3A3"/>
      <name val="Cairo"/>
      <family val="0"/>
      <charset val="1"/>
    </font>
    <font>
      <b val="true"/>
      <sz val="9"/>
      <color rgb="FF08443C"/>
      <name val="Cairo"/>
      <family val="0"/>
      <charset val="1"/>
    </font>
    <font>
      <b val="true"/>
      <sz val="12"/>
      <color rgb="FF08443C"/>
      <name val="Cairo"/>
      <family val="0"/>
      <charset val="1"/>
    </font>
    <font>
      <sz val="9"/>
      <color rgb="FF2B2B2B"/>
      <name val="Cairo"/>
      <family val="0"/>
      <charset val="1"/>
    </font>
    <font>
      <b val="true"/>
      <sz val="10"/>
      <color rgb="FF08443C"/>
      <name val="Cairo"/>
      <family val="0"/>
      <charset val="1"/>
    </font>
    <font>
      <sz val="10"/>
      <color rgb="FF2B2B2B"/>
      <name val="Cairo"/>
      <family val="0"/>
      <charset val="1"/>
    </font>
    <font>
      <b val="true"/>
      <sz val="12"/>
      <color rgb="FFC8A96B"/>
      <name val="Cairo"/>
      <family val="0"/>
      <charset val="1"/>
    </font>
    <font>
      <b val="true"/>
      <sz val="11"/>
      <name val="Cairo"/>
      <family val="0"/>
      <charset val="1"/>
    </font>
    <font>
      <i val="true"/>
      <sz val="10"/>
      <color rgb="FF6B6B6B"/>
      <name val="Inter"/>
      <family val="0"/>
      <charset val="1"/>
    </font>
    <font>
      <b val="true"/>
      <sz val="11"/>
      <color rgb="FFC8A96B"/>
      <name val="Cairo"/>
      <family val="0"/>
      <charset val="1"/>
    </font>
    <font>
      <b val="true"/>
      <sz val="10"/>
      <color rgb="FF2B2B2B"/>
      <name val="Cairo"/>
      <family val="0"/>
      <charset val="1"/>
    </font>
    <font>
      <b val="true"/>
      <sz val="11"/>
      <color rgb="FF0B5B50"/>
      <name val="Cairo"/>
      <family val="0"/>
      <charset val="1"/>
    </font>
    <font>
      <i val="true"/>
      <sz val="9"/>
      <color rgb="FF6B6B6B"/>
      <name val="Cairo"/>
      <family val="0"/>
      <charset val="1"/>
    </font>
    <font>
      <b val="true"/>
      <sz val="9"/>
      <color rgb="FFC8A96B"/>
      <name val="Cairo"/>
      <family val="0"/>
      <charset val="1"/>
    </font>
    <font>
      <b val="true"/>
      <sz val="12"/>
      <color rgb="FF2E7D5B"/>
      <name val="Inter"/>
      <family val="0"/>
      <charset val="1"/>
    </font>
    <font>
      <b val="true"/>
      <sz val="12"/>
      <color rgb="FF0B5B50"/>
      <name val="Inter"/>
      <family val="0"/>
      <charset val="1"/>
    </font>
    <font>
      <b val="true"/>
      <sz val="12"/>
      <color rgb="FFC8A96B"/>
      <name val="Inter"/>
      <family val="0"/>
      <charset val="1"/>
    </font>
    <font>
      <b val="true"/>
      <sz val="12"/>
      <color rgb="FF08443C"/>
      <name val="Inter"/>
      <family val="0"/>
      <charset val="1"/>
    </font>
    <font>
      <b val="true"/>
      <sz val="12"/>
      <color rgb="FFE6D3A3"/>
      <name val="Cairo"/>
      <family val="0"/>
      <charset val="1"/>
    </font>
    <font>
      <b val="true"/>
      <sz val="10"/>
      <color rgb="FF0B5B50"/>
      <name val="Cairo"/>
      <family val="0"/>
      <charset val="1"/>
    </font>
    <font>
      <sz val="10"/>
      <color rgb="FF2B2B2B"/>
      <name val="Inter"/>
      <family val="0"/>
      <charset val="1"/>
    </font>
    <font>
      <b val="true"/>
      <sz val="10"/>
      <color rgb="FF0B5B50"/>
      <name val="Inter"/>
      <family val="0"/>
      <charset val="1"/>
    </font>
    <font>
      <b val="true"/>
      <sz val="9"/>
      <color rgb="FF2B2B2B"/>
      <name val="Cairo"/>
      <family val="0"/>
      <charset val="1"/>
    </font>
    <font>
      <b val="true"/>
      <sz val="10"/>
      <color rgb="FFA7B8A8"/>
      <name val="Cairo"/>
      <family val="0"/>
      <charset val="1"/>
    </font>
    <font>
      <b val="true"/>
      <sz val="10"/>
      <color rgb="FFA7B8A8"/>
      <name val="Inter"/>
      <family val="0"/>
      <charset val="1"/>
    </font>
    <font>
      <b val="true"/>
      <sz val="10"/>
      <color rgb="FFC8A96B"/>
      <name val="Inter"/>
      <family val="0"/>
      <charset val="1"/>
    </font>
    <font>
      <b val="true"/>
      <sz val="10"/>
      <color rgb="FF08443C"/>
      <name val="Inter"/>
      <family val="0"/>
      <charset val="1"/>
    </font>
    <font>
      <b val="true"/>
      <sz val="10"/>
      <color rgb="FF2E7D5B"/>
      <name val="Cairo"/>
      <family val="0"/>
      <charset val="1"/>
    </font>
    <font>
      <b val="true"/>
      <sz val="10"/>
      <color rgb="FF2E7D5B"/>
      <name val="Inter"/>
      <family val="0"/>
      <charset val="1"/>
    </font>
    <font>
      <b val="true"/>
      <sz val="9"/>
      <color rgb="FFFFFFFF"/>
      <name val="Cairo"/>
      <family val="0"/>
      <charset val="1"/>
    </font>
    <font>
      <b val="true"/>
      <sz val="18"/>
      <color rgb="FF0B5B50"/>
      <name val="Inter"/>
      <family val="0"/>
      <charset val="1"/>
    </font>
    <font>
      <b val="true"/>
      <sz val="18"/>
      <color rgb="FFC8A96B"/>
      <name val="Inter"/>
      <family val="0"/>
      <charset val="1"/>
    </font>
    <font>
      <b val="true"/>
      <sz val="18"/>
      <color rgb="FF2E7D5B"/>
      <name val="Inter"/>
      <family val="0"/>
      <charset val="1"/>
    </font>
    <font>
      <i val="true"/>
      <sz val="8"/>
      <color rgb="FF6B6B6B"/>
      <name val="Inter"/>
      <family val="0"/>
      <charset val="1"/>
    </font>
    <font>
      <sz val="10"/>
      <color rgb="FF0B5B50"/>
      <name val="Inter"/>
      <family val="0"/>
      <charset val="1"/>
    </font>
    <font>
      <sz val="10"/>
      <name val="Inter"/>
      <family val="0"/>
      <charset val="1"/>
    </font>
    <font>
      <b val="true"/>
      <sz val="10"/>
      <color rgb="FF6B6B6B"/>
      <name val="Cairo"/>
      <family val="0"/>
      <charset val="1"/>
    </font>
    <font>
      <b val="true"/>
      <sz val="10"/>
      <color rgb="FFB85C5C"/>
      <name val="Cairo"/>
      <family val="0"/>
      <charset val="1"/>
    </font>
    <font>
      <b val="true"/>
      <sz val="11"/>
      <color rgb="FFC8A96B"/>
      <name val="Inter"/>
      <family val="0"/>
      <charset val="1"/>
    </font>
    <font>
      <b val="true"/>
      <sz val="10"/>
      <color rgb="FFB85C5C"/>
      <name val="Inter"/>
      <family val="0"/>
      <charset val="1"/>
    </font>
    <font>
      <b val="true"/>
      <sz val="11"/>
      <color rgb="FFFFFFFF"/>
      <name val="Cairo"/>
      <family val="0"/>
      <charset val="1"/>
    </font>
    <font>
      <b val="true"/>
      <sz val="12"/>
      <color rgb="FFFFFFFF"/>
      <name val="Inter"/>
      <family val="0"/>
      <charset val="1"/>
    </font>
    <font>
      <b val="true"/>
      <sz val="10"/>
      <color rgb="FFE6D3A3"/>
      <name val="Cairo"/>
      <family val="0"/>
      <charset val="1"/>
    </font>
    <font>
      <sz val="9"/>
      <color rgb="FF6B6B6B"/>
      <name val="Cairo"/>
      <family val="0"/>
      <charset val="1"/>
    </font>
    <font>
      <b val="true"/>
      <sz val="10"/>
      <color rgb="FFFFFFFF"/>
      <name val="Inter"/>
      <family val="0"/>
      <charset val="1"/>
    </font>
    <font>
      <b val="true"/>
      <sz val="12"/>
      <color rgb="FFFFFFFF"/>
      <name val="Cairo"/>
      <family val="0"/>
      <charset val="1"/>
    </font>
    <font>
      <b val="true"/>
      <sz val="20"/>
      <color rgb="FFC8A96B"/>
      <name val="Inter"/>
      <family val="0"/>
      <charset val="1"/>
    </font>
    <font>
      <b val="true"/>
      <sz val="11"/>
      <color rgb="FF08443C"/>
      <name val="Cairo"/>
      <family val="0"/>
      <charset val="1"/>
    </font>
    <font>
      <b val="true"/>
      <sz val="10"/>
      <color rgb="FFFFFFFF"/>
      <name val="Cairo"/>
      <family val="0"/>
      <charset val="1"/>
    </font>
    <font>
      <b val="true"/>
      <sz val="14"/>
      <color rgb="FFC8A96B"/>
      <name val="Inter"/>
      <family val="0"/>
      <charset val="1"/>
    </font>
    <font>
      <b val="true"/>
      <i val="true"/>
      <sz val="11"/>
      <color rgb="FFE6D3A3"/>
      <name val="Cairo"/>
      <family val="0"/>
      <charset val="1"/>
    </font>
    <font>
      <sz val="10"/>
      <color rgb="FF2E7D5B"/>
      <name val="Inter"/>
      <family val="0"/>
      <charset val="1"/>
    </font>
    <font>
      <sz val="9"/>
      <color rgb="FF0B5B50"/>
      <name val="Inter"/>
      <family val="0"/>
      <charset val="1"/>
    </font>
    <font>
      <sz val="9"/>
      <color rgb="FF2B2B2B"/>
      <name val="Inter"/>
      <family val="0"/>
      <charset val="1"/>
    </font>
    <font>
      <i val="true"/>
      <sz val="8"/>
      <color rgb="FF6B6B6B"/>
      <name val="Cairo"/>
      <family val="0"/>
      <charset val="1"/>
    </font>
    <font>
      <b val="true"/>
      <sz val="9"/>
      <color rgb="FF6B6B6B"/>
      <name val="Cairo"/>
      <family val="0"/>
      <charset val="1"/>
    </font>
    <font>
      <b val="true"/>
      <sz val="13"/>
      <color rgb="FF08443C"/>
      <name val="Cairo"/>
      <family val="0"/>
      <charset val="1"/>
    </font>
    <font>
      <b val="true"/>
      <sz val="11"/>
      <color rgb="FF0B5B50"/>
      <name val="Inter"/>
      <family val="0"/>
      <charset val="1"/>
    </font>
    <font>
      <b val="true"/>
      <sz val="14"/>
      <color rgb="FFFFFFFF"/>
      <name val="Inter"/>
      <family val="0"/>
      <charset val="1"/>
    </font>
    <font>
      <b val="true"/>
      <sz val="16"/>
      <color rgb="FFC8A96B"/>
      <name val="Cairo"/>
      <family val="0"/>
      <charset val="1"/>
    </font>
    <font>
      <b val="true"/>
      <sz val="16"/>
      <color rgb="FF0B5B50"/>
      <name val="Inter"/>
      <family val="0"/>
      <charset val="1"/>
    </font>
    <font>
      <b val="true"/>
      <sz val="16"/>
      <color rgb="FFB85C5C"/>
      <name val="Inter"/>
      <family val="0"/>
      <charset val="1"/>
    </font>
    <font>
      <b val="true"/>
      <sz val="16"/>
      <color rgb="FF2E7D5B"/>
      <name val="Inter"/>
      <family val="0"/>
      <charset val="1"/>
    </font>
    <font>
      <b val="true"/>
      <sz val="16"/>
      <color rgb="FFC8A96B"/>
      <name val="Inter"/>
      <family val="0"/>
      <charset val="1"/>
    </font>
    <font>
      <b val="true"/>
      <sz val="16"/>
      <color rgb="FF08443C"/>
      <name val="Inter"/>
      <family val="0"/>
      <charset val="1"/>
    </font>
    <font>
      <sz val="11"/>
      <color theme="1"/>
      <name val="FreeSans"/>
      <family val="2"/>
      <charset val="1"/>
    </font>
    <font>
      <sz val="9"/>
      <color rgb="FFE6D3A3"/>
      <name val="Cairo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7F4EE"/>
        <bgColor rgb="FFF4F1EA"/>
      </patternFill>
    </fill>
    <fill>
      <patternFill patternType="solid">
        <fgColor rgb="FF0B5B50"/>
        <bgColor rgb="FF08443C"/>
      </patternFill>
    </fill>
    <fill>
      <patternFill patternType="solid">
        <fgColor rgb="FFC8A96B"/>
        <bgColor rgb="FFA7B8A8"/>
      </patternFill>
    </fill>
    <fill>
      <patternFill patternType="solid">
        <fgColor rgb="FF08443C"/>
        <bgColor rgb="FF0B5B50"/>
      </patternFill>
    </fill>
    <fill>
      <patternFill patternType="solid">
        <fgColor rgb="FFFBF9F5"/>
        <bgColor rgb="FFFFFCF7"/>
      </patternFill>
    </fill>
    <fill>
      <patternFill patternType="solid">
        <fgColor rgb="FFFFFCF7"/>
        <bgColor rgb="FFFBF9F5"/>
      </patternFill>
    </fill>
    <fill>
      <patternFill patternType="solid">
        <fgColor rgb="FFE6D3A3"/>
        <bgColor rgb="FFDDD8CC"/>
      </patternFill>
    </fill>
    <fill>
      <patternFill patternType="solid">
        <fgColor rgb="FFE8DFD1"/>
        <bgColor rgb="FFDDD8CC"/>
      </patternFill>
    </fill>
    <fill>
      <patternFill patternType="solid">
        <fgColor rgb="FFF4F1EA"/>
        <bgColor rgb="FFF7F4EE"/>
      </patternFill>
    </fill>
    <fill>
      <patternFill patternType="solid">
        <fgColor rgb="FFF0EDE6"/>
        <bgColor rgb="FFF4F1EA"/>
      </patternFill>
    </fill>
    <fill>
      <patternFill patternType="solid">
        <fgColor rgb="FF2E7D5B"/>
        <bgColor rgb="FF008080"/>
      </patternFill>
    </fill>
    <fill>
      <patternFill patternType="solid">
        <fgColor rgb="FFFFFFFF"/>
        <bgColor rgb="FFFFFCF7"/>
      </patternFill>
    </fill>
    <fill>
      <patternFill patternType="solid">
        <fgColor rgb="FFB85C5C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D8CC"/>
      </left>
      <right style="thin">
        <color rgb="FFDDD8CC"/>
      </right>
      <top style="thin">
        <color rgb="FFDDD8CC"/>
      </top>
      <bottom style="thin">
        <color rgb="FFDDD8CC"/>
      </bottom>
      <diagonal/>
    </border>
    <border diagonalUp="false" diagonalDown="false">
      <left style="thin">
        <color rgb="FFDDD8CC"/>
      </left>
      <right/>
      <top style="thin">
        <color rgb="FFDDD8CC"/>
      </top>
      <bottom style="thin">
        <color rgb="FFDDD8CC"/>
      </bottom>
      <diagonal/>
    </border>
    <border diagonalUp="false" diagonalDown="false">
      <left style="medium">
        <color rgb="FFC8A96B"/>
      </left>
      <right/>
      <top style="medium">
        <color rgb="FFC8A96B"/>
      </top>
      <bottom style="medium">
        <color rgb="FFC8A96B"/>
      </bottom>
      <diagonal/>
    </border>
    <border diagonalUp="false" diagonalDown="false">
      <left style="medium">
        <color rgb="FFC8A96B"/>
      </left>
      <right style="medium">
        <color rgb="FFC8A96B"/>
      </right>
      <top style="medium">
        <color rgb="FFC8A96B"/>
      </top>
      <bottom style="medium">
        <color rgb="FFC8A9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4" fontId="9" fillId="4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3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7" fillId="6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10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4" fontId="8" fillId="10" borderId="0" xfId="0" applyFont="true" applyBorder="false" applyAlignment="true" applyProtection="false">
      <alignment horizontal="right" vertical="center" textRotation="0" wrapText="false" indent="1" shrinkToFit="false" readingOrder="2"/>
      <protection locked="true" hidden="false"/>
    </xf>
    <xf numFmtId="165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1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3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4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4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0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3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4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0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4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4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6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46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14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4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5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35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7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7" fillId="1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4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14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4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7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8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8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8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7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8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1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4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6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4" fillId="7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8" fillId="7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6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6" fillId="1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6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7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3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6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B50"/>
      <rgbColor rgb="FFA7B8A8"/>
      <rgbColor rgb="FF808080"/>
      <rgbColor rgb="FF9999FF"/>
      <rgbColor rgb="FFB85C5C"/>
      <rgbColor rgb="FFFFFCF7"/>
      <rgbColor rgb="FFF4F1EA"/>
      <rgbColor rgb="FF660066"/>
      <rgbColor rgb="FFFF8080"/>
      <rgbColor rgb="FF0066CC"/>
      <rgbColor rgb="FFDDD8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E6"/>
      <rgbColor rgb="FFF7F4EE"/>
      <rgbColor rgb="FFFBF9F5"/>
      <rgbColor rgb="FFE8DFD1"/>
      <rgbColor rgb="FFFF99CC"/>
      <rgbColor rgb="FFCC99FF"/>
      <rgbColor rgb="FFE6D3A3"/>
      <rgbColor rgb="FF3366FF"/>
      <rgbColor rgb="FF33CCCC"/>
      <rgbColor rgb="FF99CC00"/>
      <rgbColor rgb="FFFFCC00"/>
      <rgbColor rgb="FFFF9900"/>
      <rgbColor rgb="FFFF6600"/>
      <rgbColor rgb="FF6B6B6B"/>
      <rgbColor rgb="FFC8A96B"/>
      <rgbColor rgb="FF08443C"/>
      <rgbColor rgb="FF2E7D5B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M99"/>
  <sheetViews>
    <sheetView showFormulas="false" showGridLines="false" showRowColHeaders="true" showZeros="true" rightToLeft="tru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2"/>
    <col collapsed="false" customWidth="true" hidden="false" outlineLevel="0" max="5" min="5" style="1" width="30"/>
    <col collapsed="false" customWidth="true" hidden="false" outlineLevel="0" max="11" min="6" style="1" width="28"/>
    <col collapsed="false" customWidth="true" hidden="false" outlineLevel="0" max="12" min="12" style="1" width="5"/>
  </cols>
  <sheetData>
    <row r="1" customFormat="false" ht="43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2"/>
    </row>
    <row r="3" customFormat="false" ht="55.5" hidden="false" customHeight="true" outlineLevel="0" collapsed="false">
      <c r="A3" s="2"/>
      <c r="B3" s="2"/>
      <c r="C3" s="5" t="s">
        <v>1</v>
      </c>
      <c r="D3" s="5"/>
      <c r="E3" s="5"/>
      <c r="F3" s="5"/>
      <c r="G3" s="5"/>
      <c r="H3" s="5"/>
      <c r="I3" s="5"/>
      <c r="J3" s="5"/>
      <c r="K3" s="5"/>
      <c r="L3" s="2"/>
      <c r="M3" s="2"/>
    </row>
    <row r="4" customFormat="false" ht="25.5" hidden="false" customHeight="true" outlineLevel="0" collapsed="false">
      <c r="A4" s="2"/>
      <c r="B4" s="6" t="s">
        <v>2</v>
      </c>
      <c r="C4" s="5"/>
      <c r="D4" s="5"/>
      <c r="E4" s="5"/>
      <c r="F4" s="5"/>
      <c r="G4" s="5"/>
      <c r="H4" s="5"/>
      <c r="I4" s="5"/>
      <c r="J4" s="5"/>
      <c r="K4" s="5"/>
      <c r="L4" s="2"/>
      <c r="M4" s="2"/>
    </row>
    <row r="5" customFormat="false" ht="24" hidden="false" customHeight="true" outlineLevel="0" collapsed="false">
      <c r="A5" s="2"/>
      <c r="B5" s="6"/>
      <c r="C5" s="6"/>
      <c r="D5" s="5"/>
      <c r="E5" s="5"/>
      <c r="F5" s="5"/>
      <c r="G5" s="5"/>
      <c r="H5" s="5"/>
      <c r="I5" s="5"/>
      <c r="J5" s="5"/>
      <c r="K5" s="5"/>
      <c r="L5" s="2"/>
      <c r="M5" s="2"/>
    </row>
    <row r="6" customFormat="false" ht="25.5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31.5" hidden="false" customHeight="true" outlineLevel="0" collapsed="false">
      <c r="A7" s="2"/>
      <c r="B7" s="8" t="s">
        <v>4</v>
      </c>
      <c r="C7" s="9" t="s">
        <v>5</v>
      </c>
      <c r="D7" s="9"/>
      <c r="E7" s="9"/>
      <c r="F7" s="9"/>
      <c r="G7" s="9"/>
      <c r="H7" s="9"/>
      <c r="I7" s="9"/>
      <c r="J7" s="9"/>
      <c r="K7" s="9"/>
      <c r="L7" s="2"/>
      <c r="M7" s="2"/>
    </row>
    <row r="8" customFormat="false" ht="31.5" hidden="false" customHeight="true" outlineLevel="0" collapsed="false">
      <c r="A8" s="2"/>
      <c r="B8" s="10" t="s">
        <v>6</v>
      </c>
      <c r="C8" s="11" t="s">
        <v>7</v>
      </c>
      <c r="D8" s="12" t="s">
        <v>8</v>
      </c>
      <c r="E8" s="13" t="s">
        <v>9</v>
      </c>
      <c r="F8" s="13" t="s">
        <v>10</v>
      </c>
      <c r="G8" s="13"/>
      <c r="H8" s="13"/>
      <c r="I8" s="13"/>
      <c r="J8" s="13"/>
      <c r="K8" s="13"/>
      <c r="L8" s="2"/>
      <c r="M8" s="2"/>
    </row>
    <row r="9" customFormat="false" ht="31.5" hidden="false" customHeight="true" outlineLevel="0" collapsed="false">
      <c r="A9" s="2"/>
      <c r="B9" s="10" t="s">
        <v>11</v>
      </c>
      <c r="C9" s="11" t="s">
        <v>12</v>
      </c>
      <c r="D9" s="12" t="s">
        <v>13</v>
      </c>
      <c r="E9" s="13" t="s">
        <v>14</v>
      </c>
      <c r="F9" s="13" t="s">
        <v>15</v>
      </c>
      <c r="G9" s="13"/>
      <c r="H9" s="13"/>
      <c r="I9" s="13"/>
      <c r="J9" s="13"/>
      <c r="K9" s="13"/>
      <c r="L9" s="2"/>
      <c r="M9" s="2"/>
    </row>
    <row r="10" customFormat="false" ht="31.5" hidden="false" customHeight="true" outlineLevel="0" collapsed="false">
      <c r="A10" s="2"/>
      <c r="B10" s="10" t="s">
        <v>16</v>
      </c>
      <c r="C10" s="11" t="s">
        <v>17</v>
      </c>
      <c r="D10" s="12" t="s">
        <v>18</v>
      </c>
      <c r="E10" s="13" t="s">
        <v>19</v>
      </c>
      <c r="F10" s="13" t="s">
        <v>20</v>
      </c>
      <c r="G10" s="13"/>
      <c r="H10" s="13"/>
      <c r="I10" s="13"/>
      <c r="J10" s="13"/>
      <c r="K10" s="13"/>
      <c r="L10" s="2"/>
      <c r="M10" s="2"/>
    </row>
    <row r="11" customFormat="false" ht="31.5" hidden="false" customHeight="true" outlineLevel="0" collapsed="false">
      <c r="A11" s="2"/>
      <c r="B11" s="7" t="s">
        <v>21</v>
      </c>
      <c r="C11" s="11" t="s">
        <v>22</v>
      </c>
      <c r="D11" s="12" t="s">
        <v>23</v>
      </c>
      <c r="E11" s="13" t="s">
        <v>24</v>
      </c>
      <c r="F11" s="13" t="s">
        <v>25</v>
      </c>
      <c r="G11" s="13"/>
      <c r="H11" s="13"/>
      <c r="I11" s="13"/>
      <c r="J11" s="13"/>
      <c r="K11" s="13"/>
      <c r="L11" s="2"/>
      <c r="M11" s="2"/>
    </row>
    <row r="12" customFormat="false" ht="31.5" hidden="false" customHeight="true" outlineLevel="0" collapsed="false">
      <c r="A12" s="2"/>
      <c r="B12" s="10" t="s">
        <v>26</v>
      </c>
      <c r="C12" s="11" t="s">
        <v>27</v>
      </c>
      <c r="D12" s="12" t="s">
        <v>28</v>
      </c>
      <c r="E12" s="13" t="s">
        <v>29</v>
      </c>
      <c r="F12" s="13" t="s">
        <v>30</v>
      </c>
      <c r="G12" s="13"/>
      <c r="H12" s="13"/>
      <c r="I12" s="13"/>
      <c r="J12" s="13"/>
      <c r="K12" s="13"/>
      <c r="L12" s="2"/>
      <c r="M12" s="2"/>
    </row>
    <row r="13" customFormat="false" ht="31.5" hidden="false" customHeight="true" outlineLevel="0" collapsed="false">
      <c r="A13" s="2"/>
      <c r="B13" s="10" t="s">
        <v>31</v>
      </c>
      <c r="C13" s="11" t="s">
        <v>32</v>
      </c>
      <c r="D13" s="12" t="s">
        <v>33</v>
      </c>
      <c r="E13" s="13" t="s">
        <v>34</v>
      </c>
      <c r="F13" s="13" t="s">
        <v>35</v>
      </c>
      <c r="G13" s="13"/>
      <c r="H13" s="13"/>
      <c r="I13" s="13"/>
      <c r="J13" s="13"/>
      <c r="K13" s="13"/>
      <c r="L13" s="2"/>
      <c r="M13" s="2"/>
    </row>
    <row r="14" customFormat="false" ht="31.5" hidden="false" customHeight="true" outlineLevel="0" collapsed="false">
      <c r="A14" s="2"/>
      <c r="B14" s="10" t="s">
        <v>36</v>
      </c>
      <c r="C14" s="11" t="s">
        <v>37</v>
      </c>
      <c r="D14" s="12" t="s">
        <v>38</v>
      </c>
      <c r="E14" s="13" t="s">
        <v>39</v>
      </c>
      <c r="F14" s="13" t="s">
        <v>40</v>
      </c>
      <c r="G14" s="13"/>
      <c r="H14" s="13"/>
      <c r="I14" s="13"/>
      <c r="J14" s="13"/>
      <c r="K14" s="13"/>
      <c r="L14" s="2"/>
      <c r="M14" s="2"/>
    </row>
    <row r="15" customFormat="false" ht="25.5" hidden="false" customHeight="true" outlineLevel="0" collapsed="false">
      <c r="A15" s="2"/>
      <c r="B15" s="10" t="s">
        <v>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31.5" hidden="false" customHeight="true" outlineLevel="0" collapsed="false">
      <c r="A16" s="2"/>
      <c r="B16" s="10" t="s">
        <v>42</v>
      </c>
      <c r="C16" s="14" t="s">
        <v>43</v>
      </c>
      <c r="D16" s="14"/>
      <c r="E16" s="14"/>
      <c r="F16" s="14"/>
      <c r="G16" s="14"/>
      <c r="H16" s="14"/>
      <c r="I16" s="14"/>
      <c r="J16" s="14"/>
      <c r="K16" s="14"/>
      <c r="L16" s="2"/>
      <c r="M16" s="2"/>
    </row>
    <row r="17" customFormat="false" ht="31.5" hidden="false" customHeight="true" outlineLevel="0" collapsed="false">
      <c r="A17" s="2"/>
      <c r="B17" s="10" t="s">
        <v>44</v>
      </c>
      <c r="C17" s="15" t="s">
        <v>45</v>
      </c>
      <c r="D17" s="16" t="s">
        <v>46</v>
      </c>
      <c r="E17" s="16"/>
      <c r="F17" s="16"/>
      <c r="G17" s="16"/>
      <c r="H17" s="17" t="s">
        <v>47</v>
      </c>
      <c r="I17" s="17"/>
      <c r="J17" s="17"/>
      <c r="K17" s="17"/>
      <c r="L17" s="2"/>
      <c r="M17" s="2"/>
    </row>
    <row r="18" customFormat="false" ht="31.5" hidden="false" customHeight="true" outlineLevel="0" collapsed="false">
      <c r="A18" s="2"/>
      <c r="B18" s="7" t="s">
        <v>48</v>
      </c>
      <c r="C18" s="15" t="s">
        <v>45</v>
      </c>
      <c r="D18" s="16" t="s">
        <v>49</v>
      </c>
      <c r="E18" s="16"/>
      <c r="F18" s="16"/>
      <c r="G18" s="16"/>
      <c r="H18" s="17" t="s">
        <v>50</v>
      </c>
      <c r="I18" s="17"/>
      <c r="J18" s="17"/>
      <c r="K18" s="17"/>
      <c r="L18" s="2"/>
      <c r="M18" s="2"/>
    </row>
    <row r="19" customFormat="false" ht="31.5" hidden="false" customHeight="true" outlineLevel="0" collapsed="false">
      <c r="A19" s="2"/>
      <c r="B19" s="10" t="s">
        <v>51</v>
      </c>
      <c r="C19" s="15" t="s">
        <v>45</v>
      </c>
      <c r="D19" s="16" t="s">
        <v>52</v>
      </c>
      <c r="E19" s="16"/>
      <c r="F19" s="16"/>
      <c r="G19" s="16"/>
      <c r="H19" s="17" t="s">
        <v>53</v>
      </c>
      <c r="I19" s="17"/>
      <c r="J19" s="17"/>
      <c r="K19" s="17"/>
      <c r="L19" s="2"/>
      <c r="M19" s="2"/>
    </row>
    <row r="20" customFormat="false" ht="31.5" hidden="false" customHeight="true" outlineLevel="0" collapsed="false">
      <c r="A20" s="2"/>
      <c r="B20" s="10" t="s">
        <v>54</v>
      </c>
      <c r="C20" s="15" t="s">
        <v>45</v>
      </c>
      <c r="D20" s="16" t="s">
        <v>55</v>
      </c>
      <c r="E20" s="16"/>
      <c r="F20" s="16"/>
      <c r="G20" s="16"/>
      <c r="H20" s="17" t="s">
        <v>56</v>
      </c>
      <c r="I20" s="17"/>
      <c r="J20" s="17"/>
      <c r="K20" s="17"/>
      <c r="L20" s="2"/>
      <c r="M20" s="2"/>
    </row>
    <row r="21" customFormat="false" ht="31.5" hidden="false" customHeight="true" outlineLevel="0" collapsed="false">
      <c r="A21" s="2"/>
      <c r="B21" s="10" t="s">
        <v>57</v>
      </c>
      <c r="C21" s="15" t="s">
        <v>58</v>
      </c>
      <c r="D21" s="16" t="s">
        <v>59</v>
      </c>
      <c r="E21" s="16"/>
      <c r="F21" s="16"/>
      <c r="G21" s="16"/>
      <c r="H21" s="17" t="s">
        <v>60</v>
      </c>
      <c r="I21" s="17"/>
      <c r="J21" s="17"/>
      <c r="K21" s="17"/>
      <c r="L21" s="2"/>
      <c r="M21" s="2"/>
    </row>
    <row r="22" customFormat="false" ht="25.5" hidden="false" customHeight="true" outlineLevel="0" collapsed="false">
      <c r="A22" s="2"/>
      <c r="B22" s="18" t="s">
        <v>61</v>
      </c>
      <c r="C22" s="15" t="s">
        <v>62</v>
      </c>
      <c r="D22" s="16" t="s">
        <v>63</v>
      </c>
      <c r="E22" s="16"/>
      <c r="F22" s="16"/>
      <c r="G22" s="16"/>
      <c r="H22" s="17" t="s">
        <v>64</v>
      </c>
      <c r="I22" s="17"/>
      <c r="J22" s="17"/>
      <c r="K22" s="17"/>
      <c r="L22" s="2"/>
      <c r="M22" s="2"/>
    </row>
    <row r="23" customFormat="false" ht="25.5" hidden="false" customHeight="true" outlineLevel="0" collapsed="false">
      <c r="A23" s="2"/>
      <c r="B23" s="10" t="s">
        <v>65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25.5" hidden="false" customHeight="true" outlineLevel="0" collapsed="false">
      <c r="A25" s="2"/>
      <c r="B25" s="18" t="s">
        <v>67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25.5" hidden="false" customHeight="true" outlineLevel="0" collapsed="false">
      <c r="A26" s="2"/>
      <c r="B26" s="10" t="s">
        <v>68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24" hidden="false" customHeight="true" outlineLevel="0" collapsed="false">
      <c r="A28" s="2"/>
      <c r="B28" s="20" t="s">
        <v>70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24" hidden="false" customHeight="true" outlineLevel="0" collapsed="false">
      <c r="A29" s="2"/>
      <c r="B29" s="20" t="s">
        <v>71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customFormat="false" ht="24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customFormat="false" ht="24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customFormat="false" ht="24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24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customFormat="false" ht="24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customFormat="false" ht="24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customFormat="false" ht="24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customFormat="false" ht="24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customFormat="false" ht="24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customFormat="false" ht="24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customFormat="false" ht="24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customFormat="false" ht="24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customFormat="false" ht="24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24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customFormat="false" ht="24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customFormat="false" ht="24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customFormat="false" ht="24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24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customFormat="false" ht="24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customFormat="false" ht="24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</sheetData>
  <mergeCells count="25">
    <mergeCell ref="B1:K1"/>
    <mergeCell ref="B2:K2"/>
    <mergeCell ref="C3:K5"/>
    <mergeCell ref="B4:B5"/>
    <mergeCell ref="C7:K7"/>
    <mergeCell ref="F8:K8"/>
    <mergeCell ref="F9:K9"/>
    <mergeCell ref="F10:K10"/>
    <mergeCell ref="F11:K11"/>
    <mergeCell ref="F12:K12"/>
    <mergeCell ref="F13:K13"/>
    <mergeCell ref="F14:K14"/>
    <mergeCell ref="C16:K16"/>
    <mergeCell ref="D17:G17"/>
    <mergeCell ref="H17:K17"/>
    <mergeCell ref="D18:G18"/>
    <mergeCell ref="H18:K18"/>
    <mergeCell ref="D19:G19"/>
    <mergeCell ref="H19:K19"/>
    <mergeCell ref="D20:G20"/>
    <mergeCell ref="H20:K20"/>
    <mergeCell ref="D21:G21"/>
    <mergeCell ref="H21:K21"/>
    <mergeCell ref="D22:G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B"/>
    <pageSetUpPr fitToPage="false"/>
  </sheetPr>
  <dimension ref="A1:M7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11" min="6" style="1" width="26"/>
    <col collapsed="false" customWidth="true" hidden="false" outlineLevel="0" max="12" min="12" style="1" width="5"/>
  </cols>
  <sheetData>
    <row r="1" customFormat="false" ht="43.5" hidden="false" customHeight="true" outlineLevel="0" collapsed="false">
      <c r="A1" s="2"/>
      <c r="B1" s="3" t="s">
        <v>72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31.5" hidden="false" customHeight="true" outlineLevel="0" collapsed="false">
      <c r="A4" s="2"/>
      <c r="B4" s="6" t="s">
        <v>2</v>
      </c>
      <c r="C4" s="21" t="s">
        <v>73</v>
      </c>
      <c r="D4" s="21"/>
      <c r="E4" s="21"/>
      <c r="F4" s="21"/>
      <c r="G4" s="21"/>
      <c r="H4" s="21"/>
      <c r="I4" s="21"/>
      <c r="J4" s="21"/>
      <c r="K4" s="21"/>
      <c r="L4" s="2"/>
      <c r="M4" s="2"/>
    </row>
    <row r="5" customFormat="false" ht="31.5" hidden="false" customHeight="true" outlineLevel="0" collapsed="false">
      <c r="A5" s="2"/>
      <c r="B5" s="6"/>
      <c r="C5" s="22" t="s">
        <v>74</v>
      </c>
      <c r="D5" s="22"/>
      <c r="E5" s="22"/>
      <c r="F5" s="23" t="s">
        <v>75</v>
      </c>
      <c r="G5" s="23"/>
      <c r="H5" s="23"/>
      <c r="I5" s="24" t="s">
        <v>76</v>
      </c>
      <c r="J5" s="24"/>
      <c r="K5" s="24"/>
      <c r="L5" s="2"/>
      <c r="M5" s="2"/>
    </row>
    <row r="6" customFormat="false" ht="31.5" hidden="false" customHeight="true" outlineLevel="0" collapsed="false">
      <c r="A6" s="2"/>
      <c r="B6" s="7" t="s">
        <v>3</v>
      </c>
      <c r="C6" s="22" t="s">
        <v>77</v>
      </c>
      <c r="D6" s="22"/>
      <c r="E6" s="22"/>
      <c r="F6" s="23" t="n">
        <v>5</v>
      </c>
      <c r="G6" s="23"/>
      <c r="H6" s="23"/>
      <c r="I6" s="24" t="s">
        <v>76</v>
      </c>
      <c r="J6" s="24"/>
      <c r="K6" s="24"/>
      <c r="L6" s="2"/>
      <c r="M6" s="2"/>
    </row>
    <row r="7" customFormat="false" ht="31.5" hidden="false" customHeight="true" outlineLevel="0" collapsed="false">
      <c r="A7" s="2"/>
      <c r="B7" s="25" t="s">
        <v>4</v>
      </c>
      <c r="C7" s="22" t="s">
        <v>78</v>
      </c>
      <c r="D7" s="22"/>
      <c r="E7" s="22"/>
      <c r="F7" s="23" t="s">
        <v>79</v>
      </c>
      <c r="G7" s="23"/>
      <c r="H7" s="23"/>
      <c r="I7" s="24" t="s">
        <v>76</v>
      </c>
      <c r="J7" s="24"/>
      <c r="K7" s="24"/>
      <c r="L7" s="2"/>
      <c r="M7" s="2"/>
    </row>
    <row r="8" customFormat="false" ht="31.5" hidden="false" customHeight="true" outlineLevel="0" collapsed="false">
      <c r="A8" s="2"/>
      <c r="B8" s="26" t="s">
        <v>6</v>
      </c>
      <c r="C8" s="22" t="s">
        <v>80</v>
      </c>
      <c r="D8" s="22"/>
      <c r="E8" s="22"/>
      <c r="F8" s="23" t="s">
        <v>81</v>
      </c>
      <c r="G8" s="23"/>
      <c r="H8" s="23"/>
      <c r="I8" s="24" t="s">
        <v>76</v>
      </c>
      <c r="J8" s="24"/>
      <c r="K8" s="24"/>
      <c r="L8" s="2"/>
      <c r="M8" s="2"/>
    </row>
    <row r="9" customFormat="false" ht="25.5" hidden="false" customHeight="true" outlineLevel="0" collapsed="false">
      <c r="A9" s="2"/>
      <c r="B9" s="25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31.5" hidden="false" customHeight="true" outlineLevel="0" collapsed="false">
      <c r="A10" s="2"/>
      <c r="B10" s="25" t="s">
        <v>16</v>
      </c>
      <c r="C10" s="21" t="s">
        <v>82</v>
      </c>
      <c r="D10" s="21"/>
      <c r="E10" s="21"/>
      <c r="F10" s="21"/>
      <c r="G10" s="21"/>
      <c r="H10" s="21"/>
      <c r="I10" s="21"/>
      <c r="J10" s="21"/>
      <c r="K10" s="21"/>
      <c r="L10" s="2"/>
      <c r="M10" s="2"/>
    </row>
    <row r="11" customFormat="false" ht="31.5" hidden="false" customHeight="true" outlineLevel="0" collapsed="false">
      <c r="A11" s="2"/>
      <c r="B11" s="7" t="s">
        <v>21</v>
      </c>
      <c r="C11" s="22" t="s">
        <v>83</v>
      </c>
      <c r="D11" s="22"/>
      <c r="E11" s="22"/>
      <c r="F11" s="23" t="s">
        <v>84</v>
      </c>
      <c r="G11" s="23"/>
      <c r="H11" s="23"/>
      <c r="I11" s="24" t="s">
        <v>76</v>
      </c>
      <c r="J11" s="24"/>
      <c r="K11" s="24"/>
      <c r="L11" s="2"/>
      <c r="M11" s="2"/>
    </row>
    <row r="12" customFormat="false" ht="31.5" hidden="false" customHeight="true" outlineLevel="0" collapsed="false">
      <c r="A12" s="2"/>
      <c r="B12" s="25" t="s">
        <v>26</v>
      </c>
      <c r="C12" s="22" t="s">
        <v>85</v>
      </c>
      <c r="D12" s="22"/>
      <c r="E12" s="22"/>
      <c r="F12" s="23" t="s">
        <v>86</v>
      </c>
      <c r="G12" s="23"/>
      <c r="H12" s="23"/>
      <c r="I12" s="24" t="s">
        <v>76</v>
      </c>
      <c r="J12" s="24"/>
      <c r="K12" s="24"/>
      <c r="L12" s="2"/>
      <c r="M12" s="2"/>
    </row>
    <row r="13" customFormat="false" ht="31.5" hidden="false" customHeight="true" outlineLevel="0" collapsed="false">
      <c r="A13" s="2"/>
      <c r="B13" s="25" t="s">
        <v>31</v>
      </c>
      <c r="C13" s="22" t="s">
        <v>87</v>
      </c>
      <c r="D13" s="22"/>
      <c r="E13" s="22"/>
      <c r="F13" s="27" t="n">
        <v>15000</v>
      </c>
      <c r="G13" s="27"/>
      <c r="H13" s="27"/>
      <c r="I13" s="24" t="s">
        <v>76</v>
      </c>
      <c r="J13" s="24"/>
      <c r="K13" s="24"/>
      <c r="L13" s="2"/>
      <c r="M13" s="2"/>
    </row>
    <row r="14" customFormat="false" ht="31.5" hidden="false" customHeight="true" outlineLevel="0" collapsed="false">
      <c r="A14" s="2"/>
      <c r="B14" s="25" t="s">
        <v>36</v>
      </c>
      <c r="C14" s="22" t="s">
        <v>88</v>
      </c>
      <c r="D14" s="22"/>
      <c r="E14" s="22"/>
      <c r="F14" s="28" t="n">
        <v>0.2</v>
      </c>
      <c r="G14" s="28"/>
      <c r="H14" s="28"/>
      <c r="I14" s="24" t="s">
        <v>76</v>
      </c>
      <c r="J14" s="24"/>
      <c r="K14" s="24"/>
      <c r="L14" s="2"/>
      <c r="M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31.5" hidden="false" customHeight="true" outlineLevel="0" collapsed="false">
      <c r="A16" s="2"/>
      <c r="B16" s="25" t="s">
        <v>42</v>
      </c>
      <c r="C16" s="21" t="s">
        <v>89</v>
      </c>
      <c r="D16" s="21"/>
      <c r="E16" s="21"/>
      <c r="F16" s="21"/>
      <c r="G16" s="21"/>
      <c r="H16" s="21"/>
      <c r="I16" s="21"/>
      <c r="J16" s="21"/>
      <c r="K16" s="21"/>
      <c r="L16" s="2"/>
      <c r="M16" s="2"/>
    </row>
    <row r="17" customFormat="false" ht="31.5" hidden="false" customHeight="true" outlineLevel="0" collapsed="false">
      <c r="A17" s="2"/>
      <c r="B17" s="25" t="s">
        <v>44</v>
      </c>
      <c r="C17" s="22" t="s">
        <v>90</v>
      </c>
      <c r="D17" s="22"/>
      <c r="E17" s="22"/>
      <c r="F17" s="27" t="n">
        <v>4250</v>
      </c>
      <c r="G17" s="27"/>
      <c r="H17" s="27"/>
      <c r="I17" s="24" t="s">
        <v>76</v>
      </c>
      <c r="J17" s="24"/>
      <c r="K17" s="24"/>
      <c r="L17" s="2"/>
      <c r="M17" s="2"/>
    </row>
    <row r="18" customFormat="false" ht="31.5" hidden="false" customHeight="true" outlineLevel="0" collapsed="false">
      <c r="A18" s="2"/>
      <c r="B18" s="7" t="s">
        <v>48</v>
      </c>
      <c r="C18" s="22" t="s">
        <v>91</v>
      </c>
      <c r="D18" s="22"/>
      <c r="E18" s="22"/>
      <c r="F18" s="28" t="n">
        <v>0.025</v>
      </c>
      <c r="G18" s="28"/>
      <c r="H18" s="28"/>
      <c r="I18" s="24" t="s">
        <v>76</v>
      </c>
      <c r="J18" s="24"/>
      <c r="K18" s="24"/>
      <c r="L18" s="2"/>
      <c r="M18" s="2"/>
    </row>
    <row r="19" customFormat="false" ht="31.5" hidden="false" customHeight="true" outlineLevel="0" collapsed="false">
      <c r="A19" s="2"/>
      <c r="B19" s="25" t="s">
        <v>51</v>
      </c>
      <c r="C19" s="22" t="s">
        <v>92</v>
      </c>
      <c r="D19" s="22"/>
      <c r="E19" s="22"/>
      <c r="F19" s="27" t="n">
        <v>3000</v>
      </c>
      <c r="G19" s="27"/>
      <c r="H19" s="27"/>
      <c r="I19" s="24" t="s">
        <v>76</v>
      </c>
      <c r="J19" s="24"/>
      <c r="K19" s="24"/>
      <c r="L19" s="2"/>
      <c r="M19" s="2"/>
    </row>
    <row r="20" customFormat="false" ht="31.5" hidden="false" customHeight="true" outlineLevel="0" collapsed="false">
      <c r="A20" s="2"/>
      <c r="B20" s="25" t="s">
        <v>54</v>
      </c>
      <c r="C20" s="22" t="s">
        <v>93</v>
      </c>
      <c r="D20" s="22"/>
      <c r="E20" s="22"/>
      <c r="F20" s="27" t="n">
        <v>2000</v>
      </c>
      <c r="G20" s="27"/>
      <c r="H20" s="27"/>
      <c r="I20" s="24" t="s">
        <v>76</v>
      </c>
      <c r="J20" s="24"/>
      <c r="K20" s="24"/>
      <c r="L20" s="2"/>
      <c r="M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31.5" hidden="false" customHeight="true" outlineLevel="0" collapsed="false">
      <c r="A22" s="2"/>
      <c r="B22" s="29" t="s">
        <v>61</v>
      </c>
      <c r="C22" s="21" t="s">
        <v>94</v>
      </c>
      <c r="D22" s="21"/>
      <c r="E22" s="21"/>
      <c r="F22" s="21"/>
      <c r="G22" s="21"/>
      <c r="H22" s="21"/>
      <c r="I22" s="21"/>
      <c r="J22" s="21"/>
      <c r="K22" s="21"/>
      <c r="L22" s="2"/>
      <c r="M22" s="2"/>
    </row>
    <row r="23" customFormat="false" ht="31.5" hidden="false" customHeight="true" outlineLevel="0" collapsed="false">
      <c r="A23" s="2"/>
      <c r="B23" s="25" t="s">
        <v>65</v>
      </c>
      <c r="C23" s="22" t="s">
        <v>95</v>
      </c>
      <c r="D23" s="22"/>
      <c r="E23" s="22"/>
      <c r="F23" s="23" t="n">
        <v>2025</v>
      </c>
      <c r="G23" s="23"/>
      <c r="H23" s="23"/>
      <c r="I23" s="24" t="s">
        <v>76</v>
      </c>
      <c r="J23" s="24"/>
      <c r="K23" s="24"/>
      <c r="L23" s="2"/>
      <c r="M23" s="2"/>
    </row>
    <row r="24" customFormat="false" ht="31.5" hidden="false" customHeight="true" outlineLevel="0" collapsed="false">
      <c r="A24" s="2"/>
      <c r="B24" s="19" t="s">
        <v>66</v>
      </c>
      <c r="C24" s="22" t="s">
        <v>96</v>
      </c>
      <c r="D24" s="22"/>
      <c r="E24" s="22"/>
      <c r="F24" s="23" t="n">
        <v>1446</v>
      </c>
      <c r="G24" s="23"/>
      <c r="H24" s="23"/>
      <c r="I24" s="24" t="s">
        <v>76</v>
      </c>
      <c r="J24" s="24"/>
      <c r="K24" s="24"/>
      <c r="L24" s="2"/>
      <c r="M24" s="2"/>
    </row>
    <row r="25" customFormat="false" ht="31.5" hidden="false" customHeight="true" outlineLevel="0" collapsed="false">
      <c r="A25" s="2"/>
      <c r="B25" s="29" t="s">
        <v>67</v>
      </c>
      <c r="C25" s="22" t="s">
        <v>97</v>
      </c>
      <c r="D25" s="22"/>
      <c r="E25" s="22"/>
      <c r="F25" s="23" t="s">
        <v>98</v>
      </c>
      <c r="G25" s="23"/>
      <c r="H25" s="23"/>
      <c r="I25" s="24" t="s">
        <v>76</v>
      </c>
      <c r="J25" s="24"/>
      <c r="K25" s="24"/>
      <c r="L25" s="2"/>
      <c r="M25" s="2"/>
    </row>
    <row r="26" customFormat="false" ht="31.5" hidden="false" customHeight="true" outlineLevel="0" collapsed="false">
      <c r="A26" s="2"/>
      <c r="B26" s="25" t="s">
        <v>68</v>
      </c>
      <c r="C26" s="22" t="s">
        <v>99</v>
      </c>
      <c r="D26" s="22"/>
      <c r="E26" s="22"/>
      <c r="F26" s="23" t="n">
        <v>1</v>
      </c>
      <c r="G26" s="23"/>
      <c r="H26" s="23"/>
      <c r="I26" s="24" t="s">
        <v>76</v>
      </c>
      <c r="J26" s="24"/>
      <c r="K26" s="24"/>
      <c r="L26" s="2"/>
      <c r="M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</sheetData>
  <mergeCells count="55">
    <mergeCell ref="B1:K1"/>
    <mergeCell ref="B2:K2"/>
    <mergeCell ref="B4:B5"/>
    <mergeCell ref="C4:K4"/>
    <mergeCell ref="C5:E5"/>
    <mergeCell ref="F5:H5"/>
    <mergeCell ref="I5:K5"/>
    <mergeCell ref="C6:E6"/>
    <mergeCell ref="F6:H6"/>
    <mergeCell ref="I6:K6"/>
    <mergeCell ref="C7:E7"/>
    <mergeCell ref="F7:H7"/>
    <mergeCell ref="I7:K7"/>
    <mergeCell ref="C8:E8"/>
    <mergeCell ref="F8:H8"/>
    <mergeCell ref="I8:K8"/>
    <mergeCell ref="C10:K10"/>
    <mergeCell ref="C11:E11"/>
    <mergeCell ref="F11:H11"/>
    <mergeCell ref="I11:K11"/>
    <mergeCell ref="C12:E12"/>
    <mergeCell ref="F12:H12"/>
    <mergeCell ref="I12:K12"/>
    <mergeCell ref="C13:E13"/>
    <mergeCell ref="F13:H13"/>
    <mergeCell ref="I13:K13"/>
    <mergeCell ref="C14:E14"/>
    <mergeCell ref="F14:H14"/>
    <mergeCell ref="I14:K14"/>
    <mergeCell ref="C16:K16"/>
    <mergeCell ref="C17:E17"/>
    <mergeCell ref="F17:H17"/>
    <mergeCell ref="I17:K17"/>
    <mergeCell ref="C18:E18"/>
    <mergeCell ref="F18:H18"/>
    <mergeCell ref="I18:K18"/>
    <mergeCell ref="C19:E19"/>
    <mergeCell ref="F19:H19"/>
    <mergeCell ref="I19:K19"/>
    <mergeCell ref="C20:E20"/>
    <mergeCell ref="F20:H20"/>
    <mergeCell ref="I20:K20"/>
    <mergeCell ref="C22:K22"/>
    <mergeCell ref="C23:E23"/>
    <mergeCell ref="F23:H23"/>
    <mergeCell ref="I23:K23"/>
    <mergeCell ref="C24:E24"/>
    <mergeCell ref="F24:H24"/>
    <mergeCell ref="I24:K24"/>
    <mergeCell ref="C25:E25"/>
    <mergeCell ref="F25:H25"/>
    <mergeCell ref="I25:K25"/>
    <mergeCell ref="C26:E26"/>
    <mergeCell ref="F26:H26"/>
    <mergeCell ref="I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B8A8"/>
    <pageSetUpPr fitToPage="false"/>
  </sheetPr>
  <dimension ref="A1:L7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9" min="7" style="1" width="22"/>
    <col collapsed="false" customWidth="true" hidden="false" outlineLevel="0" max="10" min="10" style="1" width="5"/>
    <col collapsed="false" customWidth="true" hidden="false" outlineLevel="0" max="11" min="11" style="1" width="4"/>
  </cols>
  <sheetData>
    <row r="1" customFormat="false" ht="43.5" hidden="false" customHeight="true" outlineLevel="0" collapsed="false">
      <c r="A1" s="2"/>
      <c r="B1" s="3" t="s">
        <v>100</v>
      </c>
      <c r="C1" s="3"/>
      <c r="D1" s="3"/>
      <c r="E1" s="3"/>
      <c r="F1" s="3"/>
      <c r="G1" s="3"/>
      <c r="H1" s="3"/>
      <c r="I1" s="3"/>
      <c r="J1" s="3"/>
      <c r="K1" s="2"/>
      <c r="L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2"/>
      <c r="L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2"/>
      <c r="B4" s="6" t="s">
        <v>2</v>
      </c>
      <c r="C4" s="21" t="s">
        <v>101</v>
      </c>
      <c r="D4" s="21"/>
      <c r="E4" s="21"/>
      <c r="F4" s="21"/>
      <c r="G4" s="21"/>
      <c r="H4" s="21"/>
      <c r="I4" s="21"/>
      <c r="J4" s="21"/>
      <c r="K4" s="2"/>
      <c r="L4" s="2"/>
    </row>
    <row r="5" customFormat="false" ht="42" hidden="false" customHeight="true" outlineLevel="0" collapsed="false">
      <c r="A5" s="2"/>
      <c r="B5" s="6"/>
      <c r="C5" s="2"/>
      <c r="D5" s="31" t="s">
        <v>102</v>
      </c>
      <c r="E5" s="31" t="s">
        <v>103</v>
      </c>
      <c r="F5" s="31" t="s">
        <v>104</v>
      </c>
      <c r="G5" s="31" t="s">
        <v>105</v>
      </c>
      <c r="H5" s="31" t="s">
        <v>106</v>
      </c>
      <c r="I5" s="31" t="s">
        <v>107</v>
      </c>
      <c r="J5" s="2"/>
      <c r="K5" s="2"/>
      <c r="L5" s="2"/>
    </row>
    <row r="6" customFormat="false" ht="25.5" hidden="false" customHeight="true" outlineLevel="0" collapsed="false">
      <c r="A6" s="2"/>
      <c r="B6" s="7" t="s">
        <v>3</v>
      </c>
      <c r="C6" s="2"/>
      <c r="D6" s="12" t="s">
        <v>108</v>
      </c>
      <c r="E6" s="12" t="s">
        <v>109</v>
      </c>
      <c r="F6" s="12" t="n">
        <v>42</v>
      </c>
      <c r="G6" s="12" t="n">
        <v>12000</v>
      </c>
      <c r="H6" s="12" t="s">
        <v>110</v>
      </c>
      <c r="I6" s="12" t="s">
        <v>111</v>
      </c>
      <c r="J6" s="2"/>
      <c r="K6" s="2"/>
      <c r="L6" s="2"/>
    </row>
    <row r="7" customFormat="false" ht="25.5" hidden="false" customHeight="true" outlineLevel="0" collapsed="false">
      <c r="A7" s="2"/>
      <c r="B7" s="25" t="s">
        <v>4</v>
      </c>
      <c r="C7" s="2"/>
      <c r="D7" s="32" t="s">
        <v>112</v>
      </c>
      <c r="E7" s="32" t="s">
        <v>113</v>
      </c>
      <c r="F7" s="32" t="n">
        <v>38</v>
      </c>
      <c r="G7" s="32" t="n">
        <v>3000</v>
      </c>
      <c r="H7" s="32" t="s">
        <v>114</v>
      </c>
      <c r="I7" s="32" t="s">
        <v>111</v>
      </c>
      <c r="J7" s="2"/>
      <c r="K7" s="2"/>
      <c r="L7" s="2"/>
    </row>
    <row r="8" customFormat="false" ht="25.5" hidden="false" customHeight="true" outlineLevel="0" collapsed="false">
      <c r="A8" s="2"/>
      <c r="B8" s="25" t="s">
        <v>6</v>
      </c>
      <c r="C8" s="2"/>
      <c r="D8" s="12" t="s">
        <v>115</v>
      </c>
      <c r="E8" s="12" t="s">
        <v>116</v>
      </c>
      <c r="F8" s="12" t="n">
        <v>16</v>
      </c>
      <c r="G8" s="12" t="n">
        <v>0</v>
      </c>
      <c r="H8" s="12" t="s">
        <v>117</v>
      </c>
      <c r="I8" s="12" t="s">
        <v>118</v>
      </c>
      <c r="J8" s="2"/>
      <c r="K8" s="2"/>
      <c r="L8" s="2"/>
    </row>
    <row r="9" customFormat="false" ht="25.5" hidden="false" customHeight="true" outlineLevel="0" collapsed="false">
      <c r="A9" s="2"/>
      <c r="B9" s="26" t="s">
        <v>11</v>
      </c>
      <c r="C9" s="2"/>
      <c r="D9" s="32" t="s">
        <v>119</v>
      </c>
      <c r="E9" s="32" t="s">
        <v>120</v>
      </c>
      <c r="F9" s="32" t="n">
        <v>12</v>
      </c>
      <c r="G9" s="32" t="n">
        <v>0</v>
      </c>
      <c r="H9" s="32" t="s">
        <v>121</v>
      </c>
      <c r="I9" s="32" t="s">
        <v>118</v>
      </c>
      <c r="J9" s="2"/>
      <c r="K9" s="2"/>
      <c r="L9" s="2"/>
    </row>
    <row r="10" customFormat="false" ht="25.5" hidden="false" customHeight="true" outlineLevel="0" collapsed="false">
      <c r="A10" s="2"/>
      <c r="B10" s="25" t="s">
        <v>16</v>
      </c>
      <c r="C10" s="2"/>
      <c r="D10" s="12" t="s">
        <v>122</v>
      </c>
      <c r="E10" s="12" t="s">
        <v>116</v>
      </c>
      <c r="F10" s="12" t="n">
        <v>8</v>
      </c>
      <c r="G10" s="12" t="n">
        <v>0</v>
      </c>
      <c r="H10" s="12" t="s">
        <v>117</v>
      </c>
      <c r="I10" s="12" t="s">
        <v>118</v>
      </c>
      <c r="J10" s="2"/>
      <c r="K10" s="2"/>
      <c r="L10" s="2"/>
    </row>
    <row r="11" customFormat="false" ht="25.5" hidden="false" customHeight="true" outlineLevel="0" collapsed="false">
      <c r="A11" s="2"/>
      <c r="B11" s="7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31.5" hidden="false" customHeight="true" outlineLevel="0" collapsed="false">
      <c r="A12" s="2"/>
      <c r="B12" s="25" t="s">
        <v>26</v>
      </c>
      <c r="C12" s="21" t="s">
        <v>123</v>
      </c>
      <c r="D12" s="21"/>
      <c r="E12" s="21"/>
      <c r="F12" s="21"/>
      <c r="G12" s="21"/>
      <c r="H12" s="21"/>
      <c r="I12" s="21"/>
      <c r="J12" s="21"/>
      <c r="K12" s="2"/>
      <c r="L12" s="2"/>
    </row>
    <row r="13" customFormat="false" ht="31.5" hidden="false" customHeight="true" outlineLevel="0" collapsed="false">
      <c r="A13" s="2"/>
      <c r="B13" s="25" t="s">
        <v>31</v>
      </c>
      <c r="C13" s="2"/>
      <c r="D13" s="22" t="s">
        <v>124</v>
      </c>
      <c r="E13" s="22"/>
      <c r="F13" s="22"/>
      <c r="G13" s="33" t="n">
        <f aca="false">SUM(G6:G10)</f>
        <v>15000</v>
      </c>
      <c r="H13" s="33"/>
      <c r="I13" s="2"/>
      <c r="J13" s="2"/>
      <c r="K13" s="2"/>
      <c r="L13" s="2"/>
    </row>
    <row r="14" customFormat="false" ht="31.5" hidden="false" customHeight="true" outlineLevel="0" collapsed="false">
      <c r="A14" s="2"/>
      <c r="B14" s="25" t="s">
        <v>36</v>
      </c>
      <c r="C14" s="2"/>
      <c r="D14" s="22" t="s">
        <v>125</v>
      </c>
      <c r="E14" s="22"/>
      <c r="F14" s="22"/>
      <c r="G14" s="34" t="n">
        <f aca="false">G13*0.975</f>
        <v>14625</v>
      </c>
      <c r="H14" s="34"/>
      <c r="I14" s="2"/>
      <c r="J14" s="2"/>
      <c r="K14" s="2"/>
      <c r="L14" s="2"/>
    </row>
    <row r="15" customFormat="false" ht="31.5" hidden="false" customHeight="true" outlineLevel="0" collapsed="false">
      <c r="A15" s="2"/>
      <c r="B15" s="25" t="s">
        <v>41</v>
      </c>
      <c r="C15" s="2"/>
      <c r="D15" s="22" t="s">
        <v>126</v>
      </c>
      <c r="E15" s="22"/>
      <c r="F15" s="22"/>
      <c r="G15" s="35" t="n">
        <f aca="false">G13*0.2</f>
        <v>3000</v>
      </c>
      <c r="H15" s="35"/>
      <c r="I15" s="2"/>
      <c r="J15" s="2"/>
      <c r="K15" s="2"/>
      <c r="L15" s="2"/>
    </row>
    <row r="16" customFormat="false" ht="31.5" hidden="false" customHeight="true" outlineLevel="0" collapsed="false">
      <c r="A16" s="2"/>
      <c r="B16" s="25" t="s">
        <v>42</v>
      </c>
      <c r="C16" s="2"/>
      <c r="D16" s="22" t="s">
        <v>127</v>
      </c>
      <c r="E16" s="22"/>
      <c r="F16" s="22"/>
      <c r="G16" s="36" t="n">
        <f aca="false">G13-G15</f>
        <v>12000</v>
      </c>
      <c r="H16" s="36"/>
      <c r="I16" s="2"/>
      <c r="J16" s="2"/>
      <c r="K16" s="2"/>
      <c r="L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.5" hidden="false" customHeight="true" outlineLevel="0" collapsed="false">
      <c r="A18" s="2"/>
      <c r="B18" s="7" t="s">
        <v>48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</sheetData>
  <mergeCells count="13">
    <mergeCell ref="B1:J1"/>
    <mergeCell ref="B2:J2"/>
    <mergeCell ref="B4:B5"/>
    <mergeCell ref="C4:J4"/>
    <mergeCell ref="C12:J12"/>
    <mergeCell ref="D13:F13"/>
    <mergeCell ref="G13:H13"/>
    <mergeCell ref="D14:F14"/>
    <mergeCell ref="G14:H14"/>
    <mergeCell ref="D15:F15"/>
    <mergeCell ref="G15:H15"/>
    <mergeCell ref="D16:F16"/>
    <mergeCell ref="G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B"/>
    <pageSetUpPr fitToPage="false"/>
  </sheetPr>
  <dimension ref="A1:K8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2"/>
    <col collapsed="false" customWidth="true" hidden="false" outlineLevel="0" max="6" min="5" style="1" width="22"/>
    <col collapsed="false" customWidth="true" hidden="false" outlineLevel="0" max="8" min="7" style="1" width="20"/>
    <col collapsed="false" customWidth="true" hidden="false" outlineLevel="0" max="9" min="9" style="1" width="22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128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2"/>
      <c r="B4" s="6" t="s">
        <v>2</v>
      </c>
      <c r="C4" s="37" t="s">
        <v>129</v>
      </c>
      <c r="D4" s="37"/>
      <c r="E4" s="37"/>
      <c r="F4" s="37"/>
      <c r="G4" s="37"/>
      <c r="H4" s="37"/>
      <c r="I4" s="37"/>
      <c r="J4" s="2"/>
      <c r="K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  <c r="J5" s="2"/>
      <c r="K5" s="2"/>
    </row>
    <row r="6" customFormat="false" ht="42" hidden="false" customHeight="true" outlineLevel="0" collapsed="false">
      <c r="A6" s="2"/>
      <c r="B6" s="7" t="s">
        <v>3</v>
      </c>
      <c r="C6" s="38"/>
      <c r="D6" s="38" t="s">
        <v>130</v>
      </c>
      <c r="E6" s="38" t="s">
        <v>131</v>
      </c>
      <c r="F6" s="38" t="s">
        <v>132</v>
      </c>
      <c r="G6" s="38" t="s">
        <v>133</v>
      </c>
      <c r="H6" s="38" t="s">
        <v>134</v>
      </c>
      <c r="I6" s="2"/>
      <c r="J6" s="2"/>
      <c r="K6" s="2"/>
    </row>
    <row r="7" customFormat="false" ht="42" hidden="false" customHeight="true" outlineLevel="0" collapsed="false">
      <c r="A7" s="2"/>
      <c r="B7" s="25" t="s">
        <v>4</v>
      </c>
      <c r="C7" s="39" t="s">
        <v>135</v>
      </c>
      <c r="D7" s="40" t="s">
        <v>136</v>
      </c>
      <c r="E7" s="41" t="n">
        <v>300000</v>
      </c>
      <c r="F7" s="42" t="n">
        <v>200000</v>
      </c>
      <c r="G7" s="43" t="n">
        <f aca="false">F7/E7</f>
        <v>0.666666666666667</v>
      </c>
      <c r="H7" s="44" t="s">
        <v>137</v>
      </c>
      <c r="I7" s="2"/>
      <c r="J7" s="2"/>
      <c r="K7" s="2"/>
    </row>
    <row r="8" customFormat="false" ht="42" hidden="false" customHeight="true" outlineLevel="0" collapsed="false">
      <c r="A8" s="2"/>
      <c r="B8" s="25" t="s">
        <v>6</v>
      </c>
      <c r="C8" s="45" t="s">
        <v>138</v>
      </c>
      <c r="D8" s="46" t="s">
        <v>139</v>
      </c>
      <c r="E8" s="47" t="n">
        <v>15000</v>
      </c>
      <c r="F8" s="48" t="n">
        <v>8000</v>
      </c>
      <c r="G8" s="49" t="n">
        <f aca="false">F8/E8</f>
        <v>0.533333333333333</v>
      </c>
      <c r="H8" s="44" t="s">
        <v>137</v>
      </c>
      <c r="I8" s="2"/>
      <c r="J8" s="2"/>
      <c r="K8" s="2"/>
    </row>
    <row r="9" customFormat="false" ht="42" hidden="false" customHeight="true" outlineLevel="0" collapsed="false">
      <c r="A9" s="2"/>
      <c r="B9" s="25" t="s">
        <v>11</v>
      </c>
      <c r="C9" s="39" t="s">
        <v>140</v>
      </c>
      <c r="D9" s="50" t="s">
        <v>141</v>
      </c>
      <c r="E9" s="41" t="n">
        <v>20000</v>
      </c>
      <c r="F9" s="51" t="n">
        <v>12000</v>
      </c>
      <c r="G9" s="52" t="n">
        <f aca="false">F9/E9</f>
        <v>0.6</v>
      </c>
      <c r="H9" s="44" t="s">
        <v>137</v>
      </c>
      <c r="I9" s="2"/>
      <c r="J9" s="2"/>
      <c r="K9" s="2"/>
    </row>
    <row r="10" customFormat="false" ht="42" hidden="false" customHeight="true" outlineLevel="0" collapsed="false">
      <c r="A10" s="2"/>
      <c r="B10" s="26" t="s">
        <v>16</v>
      </c>
      <c r="C10" s="45" t="s">
        <v>142</v>
      </c>
      <c r="D10" s="53" t="s">
        <v>143</v>
      </c>
      <c r="E10" s="47" t="n">
        <v>25000</v>
      </c>
      <c r="F10" s="54" t="n">
        <v>5000</v>
      </c>
      <c r="G10" s="55" t="n">
        <f aca="false">F10/E10</f>
        <v>0.2</v>
      </c>
      <c r="H10" s="56" t="s">
        <v>144</v>
      </c>
      <c r="I10" s="2"/>
      <c r="J10" s="2"/>
      <c r="K10" s="2"/>
    </row>
    <row r="11" customFormat="false" ht="42" hidden="false" customHeight="true" outlineLevel="0" collapsed="false">
      <c r="A11" s="2"/>
      <c r="B11" s="7" t="s">
        <v>21</v>
      </c>
      <c r="C11" s="39" t="s">
        <v>145</v>
      </c>
      <c r="D11" s="50" t="s">
        <v>146</v>
      </c>
      <c r="E11" s="41" t="n">
        <v>50000</v>
      </c>
      <c r="F11" s="51" t="n">
        <v>10000</v>
      </c>
      <c r="G11" s="52" t="n">
        <f aca="false">F11/E11</f>
        <v>0.2</v>
      </c>
      <c r="H11" s="56" t="s">
        <v>144</v>
      </c>
      <c r="I11" s="2"/>
      <c r="J11" s="2"/>
      <c r="K11" s="2"/>
    </row>
    <row r="12" customFormat="false" ht="42" hidden="false" customHeight="true" outlineLevel="0" collapsed="false">
      <c r="A12" s="2"/>
      <c r="B12" s="25" t="s">
        <v>26</v>
      </c>
      <c r="C12" s="45" t="s">
        <v>147</v>
      </c>
      <c r="D12" s="57" t="s">
        <v>148</v>
      </c>
      <c r="E12" s="47" t="n">
        <v>80000</v>
      </c>
      <c r="F12" s="58" t="n">
        <v>35000</v>
      </c>
      <c r="G12" s="59" t="n">
        <f aca="false">F12/E12</f>
        <v>0.4375</v>
      </c>
      <c r="H12" s="56" t="s">
        <v>144</v>
      </c>
      <c r="I12" s="2"/>
      <c r="J12" s="2"/>
      <c r="K12" s="2"/>
    </row>
    <row r="13" customFormat="false" ht="42" hidden="false" customHeight="true" outlineLevel="0" collapsed="false">
      <c r="A13" s="2"/>
      <c r="B13" s="25" t="s">
        <v>31</v>
      </c>
      <c r="C13" s="39" t="s">
        <v>149</v>
      </c>
      <c r="D13" s="60" t="s">
        <v>150</v>
      </c>
      <c r="E13" s="41" t="n">
        <v>30000</v>
      </c>
      <c r="F13" s="61" t="n">
        <v>30000</v>
      </c>
      <c r="G13" s="62" t="n">
        <f aca="false">F13/E13</f>
        <v>1</v>
      </c>
      <c r="H13" s="63" t="s">
        <v>151</v>
      </c>
      <c r="I13" s="2"/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25.5" hidden="false" customHeight="true" outlineLevel="0" collapsed="false">
      <c r="A16" s="2"/>
      <c r="B16" s="25" t="s">
        <v>42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2"/>
      <c r="E18" s="2"/>
      <c r="F18" s="2"/>
      <c r="G18" s="2"/>
      <c r="H18" s="2"/>
      <c r="I18" s="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24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24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24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24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24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24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24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24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24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24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</sheetData>
  <mergeCells count="4">
    <mergeCell ref="B1:I1"/>
    <mergeCell ref="B2:I2"/>
    <mergeCell ref="B4:B5"/>
    <mergeCell ref="C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K7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5" min="5" style="1" width="22"/>
    <col collapsed="false" customWidth="true" hidden="false" outlineLevel="0" max="7" min="6" style="1" width="20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152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5.5" hidden="false" customHeight="true" outlineLevel="0" collapsed="false">
      <c r="A4" s="2"/>
      <c r="B4" s="6" t="s">
        <v>2</v>
      </c>
      <c r="C4" s="2"/>
      <c r="D4" s="64" t="s">
        <v>153</v>
      </c>
      <c r="E4" s="64"/>
      <c r="F4" s="65" t="s">
        <v>154</v>
      </c>
      <c r="G4" s="65"/>
      <c r="H4" s="66" t="s">
        <v>155</v>
      </c>
      <c r="I4" s="66"/>
      <c r="J4" s="2"/>
      <c r="K4" s="2"/>
    </row>
    <row r="5" customFormat="false" ht="36" hidden="false" customHeight="true" outlineLevel="0" collapsed="false">
      <c r="A5" s="2"/>
      <c r="B5" s="6"/>
      <c r="C5" s="2"/>
      <c r="D5" s="67" t="n">
        <v>15000</v>
      </c>
      <c r="E5" s="67"/>
      <c r="F5" s="68" t="n">
        <f aca="false">SUM(F11:F25)</f>
        <v>10850</v>
      </c>
      <c r="G5" s="68"/>
      <c r="H5" s="69" t="n">
        <f aca="false">D5-F5</f>
        <v>4150</v>
      </c>
      <c r="I5" s="69"/>
      <c r="J5" s="2"/>
      <c r="K5" s="2"/>
    </row>
    <row r="6" customFormat="false" ht="25.5" hidden="false" customHeight="true" outlineLevel="0" collapsed="false">
      <c r="A6" s="2"/>
      <c r="B6" s="7" t="s">
        <v>3</v>
      </c>
      <c r="C6" s="2"/>
      <c r="D6" s="70" t="s">
        <v>156</v>
      </c>
      <c r="E6" s="70"/>
      <c r="F6" s="70" t="s">
        <v>157</v>
      </c>
      <c r="G6" s="70"/>
      <c r="H6" s="70" t="s">
        <v>158</v>
      </c>
      <c r="I6" s="70"/>
      <c r="J6" s="2"/>
      <c r="K6" s="2"/>
    </row>
    <row r="7" customFormat="false" ht="25.5" hidden="false" customHeight="true" outlineLevel="0" collapsed="false">
      <c r="A7" s="2"/>
      <c r="B7" s="25" t="s">
        <v>4</v>
      </c>
      <c r="C7" s="2"/>
      <c r="D7" s="71"/>
      <c r="E7" s="71"/>
      <c r="F7" s="72"/>
      <c r="G7" s="72"/>
      <c r="H7" s="73"/>
      <c r="I7" s="73"/>
      <c r="J7" s="2"/>
      <c r="K7" s="2"/>
    </row>
    <row r="8" customFormat="false" ht="25.5" hidden="false" customHeight="true" outlineLevel="0" collapsed="false">
      <c r="A8" s="2"/>
      <c r="B8" s="25" t="s">
        <v>6</v>
      </c>
      <c r="C8" s="2"/>
      <c r="D8" s="2"/>
      <c r="E8" s="2"/>
      <c r="F8" s="2"/>
      <c r="G8" s="2"/>
      <c r="H8" s="2"/>
      <c r="I8" s="2"/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2"/>
      <c r="D9" s="2"/>
      <c r="E9" s="2"/>
      <c r="F9" s="2"/>
      <c r="G9" s="2"/>
      <c r="H9" s="2"/>
      <c r="I9" s="2"/>
      <c r="J9" s="2"/>
      <c r="K9" s="2"/>
    </row>
    <row r="10" customFormat="false" ht="42" hidden="false" customHeight="true" outlineLevel="0" collapsed="false">
      <c r="A10" s="2"/>
      <c r="B10" s="25" t="s">
        <v>16</v>
      </c>
      <c r="C10" s="38"/>
      <c r="D10" s="38" t="s">
        <v>159</v>
      </c>
      <c r="E10" s="38" t="s">
        <v>160</v>
      </c>
      <c r="F10" s="38" t="s">
        <v>161</v>
      </c>
      <c r="G10" s="38" t="s">
        <v>162</v>
      </c>
      <c r="H10" s="38" t="s">
        <v>163</v>
      </c>
      <c r="I10" s="2"/>
      <c r="J10" s="2"/>
      <c r="K10" s="2"/>
    </row>
    <row r="11" customFormat="false" ht="31.5" hidden="false" customHeight="true" outlineLevel="0" collapsed="false">
      <c r="A11" s="2"/>
      <c r="B11" s="7" t="s">
        <v>21</v>
      </c>
      <c r="C11" s="39" t="s">
        <v>135</v>
      </c>
      <c r="D11" s="74" t="s">
        <v>164</v>
      </c>
      <c r="E11" s="75" t="n">
        <v>4000</v>
      </c>
      <c r="F11" s="41" t="n">
        <v>2800</v>
      </c>
      <c r="G11" s="76" t="n">
        <f aca="false">E11-F11</f>
        <v>1200</v>
      </c>
      <c r="H11" s="77" t="n">
        <f aca="false">IF(E11&gt;0,F11/E11,0)</f>
        <v>0.7</v>
      </c>
      <c r="I11" s="2"/>
      <c r="J11" s="2"/>
      <c r="K11" s="2"/>
    </row>
    <row r="12" customFormat="false" ht="31.5" hidden="false" customHeight="true" outlineLevel="0" collapsed="false">
      <c r="A12" s="2"/>
      <c r="B12" s="26" t="s">
        <v>26</v>
      </c>
      <c r="C12" s="45" t="s">
        <v>165</v>
      </c>
      <c r="D12" s="78" t="s">
        <v>166</v>
      </c>
      <c r="E12" s="75" t="n">
        <v>2000</v>
      </c>
      <c r="F12" s="47" t="n">
        <v>1400</v>
      </c>
      <c r="G12" s="79" t="n">
        <f aca="false">E12-F12</f>
        <v>600</v>
      </c>
      <c r="H12" s="80" t="n">
        <f aca="false">IF(E12&gt;0,F12/E12,0)</f>
        <v>0.7</v>
      </c>
      <c r="I12" s="2"/>
      <c r="J12" s="2"/>
      <c r="K12" s="2"/>
    </row>
    <row r="13" customFormat="false" ht="25.5" hidden="false" customHeight="true" outlineLevel="0" collapsed="false">
      <c r="A13" s="2"/>
      <c r="B13" s="25" t="s">
        <v>31</v>
      </c>
      <c r="C13" s="39" t="s">
        <v>147</v>
      </c>
      <c r="D13" s="81" t="s">
        <v>167</v>
      </c>
      <c r="E13" s="75" t="n">
        <v>1200</v>
      </c>
      <c r="F13" s="41" t="n">
        <v>840</v>
      </c>
      <c r="G13" s="76" t="n">
        <f aca="false">E13-F13</f>
        <v>360</v>
      </c>
      <c r="H13" s="77" t="n">
        <f aca="false">IF(E13&gt;0,F13/E13,0)</f>
        <v>0.7</v>
      </c>
      <c r="I13" s="2"/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45" t="s">
        <v>62</v>
      </c>
      <c r="D14" s="82" t="s">
        <v>168</v>
      </c>
      <c r="E14" s="75" t="n">
        <v>500</v>
      </c>
      <c r="F14" s="47" t="n">
        <v>350</v>
      </c>
      <c r="G14" s="79" t="n">
        <f aca="false">E14-F14</f>
        <v>150</v>
      </c>
      <c r="H14" s="80" t="n">
        <f aca="false">IF(E14&gt;0,F14/E14,0)</f>
        <v>0.7</v>
      </c>
      <c r="I14" s="2"/>
      <c r="J14" s="2"/>
      <c r="K14" s="2"/>
    </row>
    <row r="15" customFormat="false" ht="31.5" hidden="false" customHeight="true" outlineLevel="0" collapsed="false">
      <c r="A15" s="2"/>
      <c r="B15" s="25" t="s">
        <v>41</v>
      </c>
      <c r="C15" s="39" t="s">
        <v>169</v>
      </c>
      <c r="D15" s="83" t="s">
        <v>170</v>
      </c>
      <c r="E15" s="75" t="n">
        <v>300</v>
      </c>
      <c r="F15" s="41" t="n">
        <v>210</v>
      </c>
      <c r="G15" s="76" t="n">
        <f aca="false">E15-F15</f>
        <v>90</v>
      </c>
      <c r="H15" s="77" t="n">
        <f aca="false">IF(E15&gt;0,F15/E15,0)</f>
        <v>0.7</v>
      </c>
      <c r="I15" s="2"/>
      <c r="J15" s="2"/>
      <c r="K15" s="2"/>
    </row>
    <row r="16" customFormat="false" ht="31.5" hidden="false" customHeight="true" outlineLevel="0" collapsed="false">
      <c r="A16" s="2"/>
      <c r="B16" s="25" t="s">
        <v>42</v>
      </c>
      <c r="C16" s="45" t="s">
        <v>171</v>
      </c>
      <c r="D16" s="84" t="s">
        <v>172</v>
      </c>
      <c r="E16" s="75" t="n">
        <v>600</v>
      </c>
      <c r="F16" s="47" t="n">
        <v>420</v>
      </c>
      <c r="G16" s="79" t="n">
        <f aca="false">E16-F16</f>
        <v>180</v>
      </c>
      <c r="H16" s="80" t="n">
        <f aca="false">IF(E16&gt;0,F16/E16,0)</f>
        <v>0.7</v>
      </c>
      <c r="I16" s="2"/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39" t="s">
        <v>140</v>
      </c>
      <c r="D17" s="74" t="s">
        <v>173</v>
      </c>
      <c r="E17" s="75" t="n">
        <v>1000</v>
      </c>
      <c r="F17" s="41" t="n">
        <v>700</v>
      </c>
      <c r="G17" s="76" t="n">
        <f aca="false">E17-F17</f>
        <v>300</v>
      </c>
      <c r="H17" s="77" t="n">
        <f aca="false">IF(E17&gt;0,F17/E17,0)</f>
        <v>0.7</v>
      </c>
      <c r="I17" s="2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45" t="s">
        <v>174</v>
      </c>
      <c r="D18" s="85" t="s">
        <v>175</v>
      </c>
      <c r="E18" s="75" t="n">
        <v>400</v>
      </c>
      <c r="F18" s="47" t="n">
        <v>280</v>
      </c>
      <c r="G18" s="79" t="n">
        <f aca="false">E18-F18</f>
        <v>120</v>
      </c>
      <c r="H18" s="80" t="n">
        <f aca="false">IF(E18&gt;0,F18/E18,0)</f>
        <v>0.7</v>
      </c>
      <c r="I18" s="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39" t="s">
        <v>176</v>
      </c>
      <c r="D19" s="86" t="s">
        <v>177</v>
      </c>
      <c r="E19" s="75" t="n">
        <v>300</v>
      </c>
      <c r="F19" s="41" t="n">
        <v>210</v>
      </c>
      <c r="G19" s="76" t="n">
        <f aca="false">E19-F19</f>
        <v>90</v>
      </c>
      <c r="H19" s="77" t="n">
        <f aca="false">IF(E19&gt;0,F19/E19,0)</f>
        <v>0.7</v>
      </c>
      <c r="I19" s="2"/>
      <c r="J19" s="2"/>
      <c r="K19" s="2"/>
    </row>
    <row r="20" customFormat="false" ht="31.5" hidden="false" customHeight="true" outlineLevel="0" collapsed="false">
      <c r="A20" s="2"/>
      <c r="B20" s="25" t="s">
        <v>54</v>
      </c>
      <c r="C20" s="45" t="s">
        <v>142</v>
      </c>
      <c r="D20" s="78" t="s">
        <v>178</v>
      </c>
      <c r="E20" s="75" t="n">
        <v>375</v>
      </c>
      <c r="F20" s="47" t="n">
        <v>262.5</v>
      </c>
      <c r="G20" s="79" t="n">
        <f aca="false">E20-F20</f>
        <v>112.5</v>
      </c>
      <c r="H20" s="80" t="n">
        <f aca="false">IF(E20&gt;0,F20/E20,0)</f>
        <v>0.7</v>
      </c>
      <c r="I20" s="2"/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39" t="s">
        <v>179</v>
      </c>
      <c r="D21" s="87" t="s">
        <v>180</v>
      </c>
      <c r="E21" s="75" t="n">
        <v>3000</v>
      </c>
      <c r="F21" s="41" t="n">
        <v>2100</v>
      </c>
      <c r="G21" s="76" t="n">
        <f aca="false">E21-F21</f>
        <v>900</v>
      </c>
      <c r="H21" s="77" t="n">
        <f aca="false">IF(E21&gt;0,F21/E21,0)</f>
        <v>0.7</v>
      </c>
      <c r="I21" s="2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45" t="s">
        <v>181</v>
      </c>
      <c r="D22" s="84" t="s">
        <v>182</v>
      </c>
      <c r="E22" s="75" t="n">
        <v>500</v>
      </c>
      <c r="F22" s="47" t="n">
        <v>350</v>
      </c>
      <c r="G22" s="79" t="n">
        <f aca="false">E22-F22</f>
        <v>150</v>
      </c>
      <c r="H22" s="80" t="n">
        <f aca="false">IF(E22&gt;0,F22/E22,0)</f>
        <v>0.7</v>
      </c>
      <c r="I22" s="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39" t="s">
        <v>183</v>
      </c>
      <c r="D23" s="88" t="s">
        <v>184</v>
      </c>
      <c r="E23" s="75" t="n">
        <v>500</v>
      </c>
      <c r="F23" s="41" t="n">
        <v>350</v>
      </c>
      <c r="G23" s="76" t="n">
        <f aca="false">E23-F23</f>
        <v>150</v>
      </c>
      <c r="H23" s="77" t="n">
        <f aca="false">IF(E23&gt;0,F23/E23,0)</f>
        <v>0.7</v>
      </c>
      <c r="I23" s="2"/>
      <c r="J23" s="2"/>
      <c r="K23" s="2"/>
    </row>
    <row r="24" customFormat="false" ht="31.5" hidden="false" customHeight="true" outlineLevel="0" collapsed="false">
      <c r="A24" s="2"/>
      <c r="B24" s="19" t="s">
        <v>66</v>
      </c>
      <c r="C24" s="45" t="s">
        <v>185</v>
      </c>
      <c r="D24" s="85" t="s">
        <v>186</v>
      </c>
      <c r="E24" s="75" t="n">
        <v>300</v>
      </c>
      <c r="F24" s="47" t="n">
        <v>210</v>
      </c>
      <c r="G24" s="79" t="n">
        <f aca="false">E24-F24</f>
        <v>90</v>
      </c>
      <c r="H24" s="80" t="n">
        <f aca="false">IF(E24&gt;0,F24/E24,0)</f>
        <v>0.7</v>
      </c>
      <c r="I24" s="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39" t="s">
        <v>187</v>
      </c>
      <c r="D25" s="83" t="s">
        <v>188</v>
      </c>
      <c r="E25" s="75" t="n">
        <v>525</v>
      </c>
      <c r="F25" s="41" t="n">
        <v>367.5</v>
      </c>
      <c r="G25" s="76" t="n">
        <f aca="false">E25-F25</f>
        <v>157.5</v>
      </c>
      <c r="H25" s="77" t="n">
        <f aca="false">IF(E25&gt;0,F25/E25,0)</f>
        <v>0.7</v>
      </c>
      <c r="I25" s="2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89" t="s">
        <v>189</v>
      </c>
      <c r="D26" s="89"/>
      <c r="E26" s="90" t="n">
        <f aca="false">SUM(E11:E25)</f>
        <v>15500</v>
      </c>
      <c r="F26" s="90" t="n">
        <f aca="false">SUM(F11:F25)</f>
        <v>10850</v>
      </c>
      <c r="G26" s="90" t="n">
        <f aca="false">SUM(G11:G25)</f>
        <v>4650</v>
      </c>
      <c r="H26" s="2"/>
      <c r="I26" s="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</sheetData>
  <mergeCells count="16">
    <mergeCell ref="B1:I1"/>
    <mergeCell ref="B2:I2"/>
    <mergeCell ref="B4:B5"/>
    <mergeCell ref="D4:E4"/>
    <mergeCell ref="F4:G4"/>
    <mergeCell ref="H4:I4"/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B"/>
    <pageSetUpPr fitToPage="false"/>
  </sheetPr>
  <dimension ref="A1:K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8" min="6" style="1" width="24"/>
    <col collapsed="false" customWidth="true" hidden="false" outlineLevel="0" max="9" min="9" style="1" width="18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190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42" hidden="false" customHeight="true" outlineLevel="0" collapsed="false">
      <c r="A5" s="2"/>
      <c r="B5" s="6"/>
      <c r="C5" s="2"/>
      <c r="D5" s="38" t="s">
        <v>191</v>
      </c>
      <c r="E5" s="38" t="s">
        <v>192</v>
      </c>
      <c r="F5" s="38" t="s">
        <v>193</v>
      </c>
      <c r="G5" s="38" t="s">
        <v>194</v>
      </c>
      <c r="H5" s="38" t="s">
        <v>106</v>
      </c>
      <c r="I5" s="38" t="s">
        <v>195</v>
      </c>
      <c r="J5" s="2"/>
      <c r="K5" s="2"/>
    </row>
    <row r="6" customFormat="false" ht="25.5" hidden="false" customHeight="true" outlineLevel="0" collapsed="false">
      <c r="A6" s="2"/>
      <c r="B6" s="7" t="s">
        <v>3</v>
      </c>
      <c r="C6" s="2"/>
      <c r="D6" s="12" t="s">
        <v>196</v>
      </c>
      <c r="E6" s="12" t="s">
        <v>197</v>
      </c>
      <c r="F6" s="12" t="s">
        <v>198</v>
      </c>
      <c r="G6" s="12" t="n">
        <v>12000</v>
      </c>
      <c r="H6" s="12" t="s">
        <v>199</v>
      </c>
      <c r="I6" s="12" t="s">
        <v>200</v>
      </c>
      <c r="J6" s="2"/>
      <c r="K6" s="2"/>
    </row>
    <row r="7" customFormat="false" ht="25.5" hidden="false" customHeight="true" outlineLevel="0" collapsed="false">
      <c r="A7" s="2"/>
      <c r="B7" s="25" t="s">
        <v>4</v>
      </c>
      <c r="C7" s="2"/>
      <c r="D7" s="32" t="s">
        <v>201</v>
      </c>
      <c r="E7" s="32" t="s">
        <v>202</v>
      </c>
      <c r="F7" s="32" t="s">
        <v>203</v>
      </c>
      <c r="G7" s="32" t="n">
        <v>3000</v>
      </c>
      <c r="H7" s="32" t="s">
        <v>204</v>
      </c>
      <c r="I7" s="32" t="s">
        <v>200</v>
      </c>
      <c r="J7" s="2"/>
      <c r="K7" s="2"/>
    </row>
    <row r="8" customFormat="false" ht="25.5" hidden="false" customHeight="true" outlineLevel="0" collapsed="false">
      <c r="A8" s="2"/>
      <c r="B8" s="25" t="s">
        <v>6</v>
      </c>
      <c r="C8" s="2"/>
      <c r="D8" s="12" t="s">
        <v>205</v>
      </c>
      <c r="E8" s="12" t="s">
        <v>206</v>
      </c>
      <c r="F8" s="12" t="s">
        <v>207</v>
      </c>
      <c r="G8" s="12" t="n">
        <v>1500</v>
      </c>
      <c r="H8" s="12" t="s">
        <v>208</v>
      </c>
      <c r="I8" s="12" t="s">
        <v>200</v>
      </c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2"/>
      <c r="D9" s="32" t="s">
        <v>209</v>
      </c>
      <c r="E9" s="32" t="s">
        <v>210</v>
      </c>
      <c r="F9" s="32" t="s">
        <v>211</v>
      </c>
      <c r="G9" s="32" t="n">
        <v>2000</v>
      </c>
      <c r="H9" s="32" t="s">
        <v>212</v>
      </c>
      <c r="I9" s="32" t="s">
        <v>200</v>
      </c>
      <c r="J9" s="2"/>
      <c r="K9" s="2"/>
    </row>
    <row r="10" customFormat="false" ht="25.5" hidden="false" customHeight="true" outlineLevel="0" collapsed="false">
      <c r="A10" s="2"/>
      <c r="B10" s="25" t="s">
        <v>16</v>
      </c>
      <c r="C10" s="2"/>
      <c r="D10" s="12" t="s">
        <v>213</v>
      </c>
      <c r="E10" s="12" t="s">
        <v>214</v>
      </c>
      <c r="F10" s="12" t="s">
        <v>215</v>
      </c>
      <c r="G10" s="12" t="n">
        <v>500</v>
      </c>
      <c r="H10" s="12" t="s">
        <v>216</v>
      </c>
      <c r="I10" s="12" t="s">
        <v>200</v>
      </c>
      <c r="J10" s="2"/>
      <c r="K10" s="2"/>
    </row>
    <row r="11" customFormat="false" ht="25.5" hidden="false" customHeight="true" outlineLevel="0" collapsed="false">
      <c r="A11" s="2"/>
      <c r="B11" s="7" t="s">
        <v>21</v>
      </c>
      <c r="C11" s="2"/>
      <c r="D11" s="32" t="s">
        <v>217</v>
      </c>
      <c r="E11" s="32" t="s">
        <v>197</v>
      </c>
      <c r="F11" s="32" t="s">
        <v>198</v>
      </c>
      <c r="G11" s="32" t="n">
        <v>12000</v>
      </c>
      <c r="H11" s="32" t="s">
        <v>199</v>
      </c>
      <c r="I11" s="32" t="s">
        <v>218</v>
      </c>
      <c r="J11" s="2"/>
      <c r="K11" s="2"/>
    </row>
    <row r="12" customFormat="false" ht="25.5" hidden="false" customHeight="true" outlineLevel="0" collapsed="false">
      <c r="A12" s="2"/>
      <c r="B12" s="25" t="s">
        <v>26</v>
      </c>
      <c r="C12" s="2"/>
      <c r="D12" s="12" t="s">
        <v>219</v>
      </c>
      <c r="E12" s="12" t="s">
        <v>202</v>
      </c>
      <c r="F12" s="12" t="s">
        <v>203</v>
      </c>
      <c r="G12" s="12" t="n">
        <v>2500</v>
      </c>
      <c r="H12" s="12" t="s">
        <v>204</v>
      </c>
      <c r="I12" s="12" t="s">
        <v>218</v>
      </c>
      <c r="J12" s="2"/>
      <c r="K12" s="2"/>
    </row>
    <row r="13" customFormat="false" ht="25.5" hidden="false" customHeight="true" outlineLevel="0" collapsed="false">
      <c r="A13" s="2"/>
      <c r="B13" s="26" t="s">
        <v>31</v>
      </c>
      <c r="C13" s="2"/>
      <c r="D13" s="91"/>
      <c r="E13" s="91"/>
      <c r="F13" s="91"/>
      <c r="G13" s="91"/>
      <c r="H13" s="91"/>
      <c r="I13" s="91"/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2"/>
      <c r="D14" s="92"/>
      <c r="E14" s="92"/>
      <c r="F14" s="92"/>
      <c r="G14" s="92"/>
      <c r="H14" s="92"/>
      <c r="I14" s="92"/>
      <c r="J14" s="2"/>
      <c r="K14" s="2"/>
    </row>
    <row r="15" customFormat="false" ht="25.5" hidden="false" customHeight="true" outlineLevel="0" collapsed="false">
      <c r="A15" s="2"/>
      <c r="B15" s="25" t="s">
        <v>41</v>
      </c>
      <c r="C15" s="2"/>
      <c r="D15" s="91"/>
      <c r="E15" s="91"/>
      <c r="F15" s="91"/>
      <c r="G15" s="91"/>
      <c r="H15" s="91"/>
      <c r="I15" s="91"/>
      <c r="J15" s="2"/>
      <c r="K15" s="2"/>
    </row>
    <row r="16" customFormat="false" ht="25.5" hidden="false" customHeight="true" outlineLevel="0" collapsed="false">
      <c r="A16" s="2"/>
      <c r="B16" s="25" t="s">
        <v>42</v>
      </c>
      <c r="C16" s="2"/>
      <c r="D16" s="92"/>
      <c r="E16" s="92"/>
      <c r="F16" s="92"/>
      <c r="G16" s="92"/>
      <c r="H16" s="92"/>
      <c r="I16" s="92"/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2"/>
      <c r="D17" s="91"/>
      <c r="E17" s="91"/>
      <c r="F17" s="91"/>
      <c r="G17" s="91"/>
      <c r="H17" s="91"/>
      <c r="I17" s="91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92"/>
      <c r="E18" s="92"/>
      <c r="F18" s="92"/>
      <c r="G18" s="92"/>
      <c r="H18" s="92"/>
      <c r="I18" s="9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91"/>
      <c r="E19" s="91"/>
      <c r="F19" s="91"/>
      <c r="G19" s="91"/>
      <c r="H19" s="91"/>
      <c r="I19" s="91"/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92"/>
      <c r="E20" s="92"/>
      <c r="F20" s="92"/>
      <c r="G20" s="92"/>
      <c r="H20" s="92"/>
      <c r="I20" s="92"/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2"/>
      <c r="D21" s="91"/>
      <c r="E21" s="91"/>
      <c r="F21" s="91"/>
      <c r="G21" s="91"/>
      <c r="H21" s="91"/>
      <c r="I21" s="91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92"/>
      <c r="E22" s="92"/>
      <c r="F22" s="92"/>
      <c r="G22" s="92"/>
      <c r="H22" s="92"/>
      <c r="I22" s="9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21" t="s">
        <v>220</v>
      </c>
      <c r="E24" s="21"/>
      <c r="F24" s="21"/>
      <c r="G24" s="21"/>
      <c r="H24" s="93" t="n">
        <f aca="false">SUM(G5:G25)</f>
        <v>33500</v>
      </c>
      <c r="I24" s="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4">
    <mergeCell ref="B1:I1"/>
    <mergeCell ref="B2:I2"/>
    <mergeCell ref="B4:B5"/>
    <mergeCell ref="D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5C"/>
    <pageSetUpPr fitToPage="false"/>
  </sheetPr>
  <dimension ref="A1:K6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9" min="7" style="1" width="20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221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42" hidden="false" customHeight="true" outlineLevel="0" collapsed="false">
      <c r="A5" s="2"/>
      <c r="B5" s="6"/>
      <c r="C5" s="2"/>
      <c r="D5" s="38" t="s">
        <v>191</v>
      </c>
      <c r="E5" s="38" t="s">
        <v>222</v>
      </c>
      <c r="F5" s="38" t="s">
        <v>159</v>
      </c>
      <c r="G5" s="38" t="s">
        <v>194</v>
      </c>
      <c r="H5" s="38" t="s">
        <v>223</v>
      </c>
      <c r="I5" s="38" t="s">
        <v>106</v>
      </c>
      <c r="J5" s="2"/>
      <c r="K5" s="2"/>
    </row>
    <row r="6" customFormat="false" ht="25.5" hidden="false" customHeight="true" outlineLevel="0" collapsed="false">
      <c r="A6" s="2"/>
      <c r="B6" s="7" t="s">
        <v>3</v>
      </c>
      <c r="C6" s="2"/>
      <c r="D6" s="12" t="s">
        <v>224</v>
      </c>
      <c r="E6" s="12" t="s">
        <v>225</v>
      </c>
      <c r="F6" s="12" t="s">
        <v>226</v>
      </c>
      <c r="G6" s="94" t="n">
        <v>4000</v>
      </c>
      <c r="H6" s="12" t="s">
        <v>227</v>
      </c>
      <c r="I6" s="12"/>
      <c r="J6" s="2"/>
      <c r="K6" s="2"/>
    </row>
    <row r="7" customFormat="false" ht="25.5" hidden="false" customHeight="true" outlineLevel="0" collapsed="false">
      <c r="A7" s="2"/>
      <c r="B7" s="25" t="s">
        <v>4</v>
      </c>
      <c r="C7" s="2"/>
      <c r="D7" s="32" t="s">
        <v>228</v>
      </c>
      <c r="E7" s="32" t="s">
        <v>229</v>
      </c>
      <c r="F7" s="32" t="s">
        <v>230</v>
      </c>
      <c r="G7" s="95" t="n">
        <v>650</v>
      </c>
      <c r="H7" s="32" t="s">
        <v>231</v>
      </c>
      <c r="I7" s="32" t="s">
        <v>232</v>
      </c>
      <c r="J7" s="2"/>
      <c r="K7" s="2"/>
    </row>
    <row r="8" customFormat="false" ht="25.5" hidden="false" customHeight="true" outlineLevel="0" collapsed="false">
      <c r="A8" s="2"/>
      <c r="B8" s="25" t="s">
        <v>6</v>
      </c>
      <c r="C8" s="2"/>
      <c r="D8" s="12" t="s">
        <v>201</v>
      </c>
      <c r="E8" s="12" t="s">
        <v>233</v>
      </c>
      <c r="F8" s="12" t="s">
        <v>234</v>
      </c>
      <c r="G8" s="94" t="n">
        <v>200</v>
      </c>
      <c r="H8" s="12" t="s">
        <v>235</v>
      </c>
      <c r="I8" s="12"/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2"/>
      <c r="D9" s="32" t="s">
        <v>236</v>
      </c>
      <c r="E9" s="32" t="s">
        <v>237</v>
      </c>
      <c r="F9" s="32" t="s">
        <v>238</v>
      </c>
      <c r="G9" s="95" t="n">
        <v>180</v>
      </c>
      <c r="H9" s="32" t="s">
        <v>239</v>
      </c>
      <c r="I9" s="32"/>
      <c r="J9" s="2"/>
      <c r="K9" s="2"/>
    </row>
    <row r="10" customFormat="false" ht="25.5" hidden="false" customHeight="true" outlineLevel="0" collapsed="false">
      <c r="A10" s="2"/>
      <c r="B10" s="25" t="s">
        <v>16</v>
      </c>
      <c r="C10" s="2"/>
      <c r="D10" s="12" t="s">
        <v>240</v>
      </c>
      <c r="E10" s="12" t="s">
        <v>241</v>
      </c>
      <c r="F10" s="12" t="s">
        <v>242</v>
      </c>
      <c r="G10" s="94" t="n">
        <v>120</v>
      </c>
      <c r="H10" s="12" t="s">
        <v>231</v>
      </c>
      <c r="I10" s="12" t="s">
        <v>243</v>
      </c>
      <c r="J10" s="2"/>
      <c r="K10" s="2"/>
    </row>
    <row r="11" customFormat="false" ht="25.5" hidden="false" customHeight="true" outlineLevel="0" collapsed="false">
      <c r="A11" s="2"/>
      <c r="B11" s="7" t="s">
        <v>21</v>
      </c>
      <c r="C11" s="2"/>
      <c r="D11" s="32" t="s">
        <v>205</v>
      </c>
      <c r="E11" s="32" t="s">
        <v>244</v>
      </c>
      <c r="F11" s="32" t="s">
        <v>245</v>
      </c>
      <c r="G11" s="95" t="n">
        <v>350</v>
      </c>
      <c r="H11" s="32" t="s">
        <v>235</v>
      </c>
      <c r="I11" s="32" t="s">
        <v>246</v>
      </c>
      <c r="J11" s="2"/>
      <c r="K11" s="2"/>
    </row>
    <row r="12" customFormat="false" ht="25.5" hidden="false" customHeight="true" outlineLevel="0" collapsed="false">
      <c r="A12" s="2"/>
      <c r="B12" s="25" t="s">
        <v>26</v>
      </c>
      <c r="C12" s="2"/>
      <c r="D12" s="12" t="s">
        <v>247</v>
      </c>
      <c r="E12" s="12" t="s">
        <v>248</v>
      </c>
      <c r="F12" s="12" t="s">
        <v>249</v>
      </c>
      <c r="G12" s="94" t="n">
        <v>200</v>
      </c>
      <c r="H12" s="12" t="s">
        <v>239</v>
      </c>
      <c r="I12" s="12" t="s">
        <v>250</v>
      </c>
      <c r="J12" s="2"/>
      <c r="K12" s="2"/>
    </row>
    <row r="13" customFormat="false" ht="25.5" hidden="false" customHeight="true" outlineLevel="0" collapsed="false">
      <c r="A13" s="2"/>
      <c r="B13" s="25" t="s">
        <v>31</v>
      </c>
      <c r="C13" s="2"/>
      <c r="D13" s="32" t="s">
        <v>251</v>
      </c>
      <c r="E13" s="32" t="s">
        <v>252</v>
      </c>
      <c r="F13" s="32" t="s">
        <v>253</v>
      </c>
      <c r="G13" s="95" t="n">
        <v>150</v>
      </c>
      <c r="H13" s="32" t="s">
        <v>235</v>
      </c>
      <c r="I13" s="32"/>
      <c r="J13" s="2"/>
      <c r="K13" s="2"/>
    </row>
    <row r="14" customFormat="false" ht="25.5" hidden="false" customHeight="true" outlineLevel="0" collapsed="false">
      <c r="A14" s="2"/>
      <c r="B14" s="26" t="s">
        <v>36</v>
      </c>
      <c r="C14" s="2"/>
      <c r="D14" s="12" t="s">
        <v>209</v>
      </c>
      <c r="E14" s="12" t="s">
        <v>254</v>
      </c>
      <c r="F14" s="12" t="s">
        <v>230</v>
      </c>
      <c r="G14" s="94" t="n">
        <v>420</v>
      </c>
      <c r="H14" s="12" t="s">
        <v>231</v>
      </c>
      <c r="I14" s="12"/>
      <c r="J14" s="2"/>
      <c r="K14" s="2"/>
    </row>
    <row r="15" customFormat="false" ht="25.5" hidden="false" customHeight="true" outlineLevel="0" collapsed="false">
      <c r="A15" s="2"/>
      <c r="B15" s="25" t="s">
        <v>41</v>
      </c>
      <c r="C15" s="2"/>
      <c r="D15" s="32" t="s">
        <v>255</v>
      </c>
      <c r="E15" s="32" t="s">
        <v>256</v>
      </c>
      <c r="F15" s="32" t="s">
        <v>257</v>
      </c>
      <c r="G15" s="95" t="n">
        <v>300</v>
      </c>
      <c r="H15" s="32" t="s">
        <v>231</v>
      </c>
      <c r="I15" s="32" t="s">
        <v>258</v>
      </c>
      <c r="J15" s="2"/>
      <c r="K15" s="2"/>
    </row>
    <row r="16" customFormat="false" ht="25.5" hidden="false" customHeight="true" outlineLevel="0" collapsed="false">
      <c r="A16" s="2"/>
      <c r="B16" s="25" t="s">
        <v>42</v>
      </c>
      <c r="C16" s="2"/>
      <c r="D16" s="12" t="s">
        <v>213</v>
      </c>
      <c r="E16" s="12" t="s">
        <v>259</v>
      </c>
      <c r="F16" s="12" t="s">
        <v>260</v>
      </c>
      <c r="G16" s="94" t="n">
        <v>200</v>
      </c>
      <c r="H16" s="12" t="s">
        <v>235</v>
      </c>
      <c r="I16" s="12" t="s">
        <v>261</v>
      </c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2"/>
      <c r="D17" s="32" t="s">
        <v>262</v>
      </c>
      <c r="E17" s="32" t="s">
        <v>263</v>
      </c>
      <c r="F17" s="32" t="s">
        <v>264</v>
      </c>
      <c r="G17" s="95" t="n">
        <v>300</v>
      </c>
      <c r="H17" s="32" t="s">
        <v>235</v>
      </c>
      <c r="I17" s="32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12" t="s">
        <v>265</v>
      </c>
      <c r="E18" s="12" t="s">
        <v>266</v>
      </c>
      <c r="F18" s="12" t="s">
        <v>234</v>
      </c>
      <c r="G18" s="94" t="n">
        <v>180</v>
      </c>
      <c r="H18" s="12" t="s">
        <v>235</v>
      </c>
      <c r="I18" s="1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32" t="s">
        <v>267</v>
      </c>
      <c r="E19" s="32" t="s">
        <v>268</v>
      </c>
      <c r="F19" s="32" t="s">
        <v>268</v>
      </c>
      <c r="G19" s="95" t="n">
        <v>150</v>
      </c>
      <c r="H19" s="32" t="s">
        <v>235</v>
      </c>
      <c r="I19" s="32"/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92"/>
      <c r="E20" s="92"/>
      <c r="F20" s="92"/>
      <c r="G20" s="96"/>
      <c r="H20" s="92"/>
      <c r="I20" s="92"/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2"/>
      <c r="D21" s="91"/>
      <c r="E21" s="91"/>
      <c r="F21" s="91"/>
      <c r="G21" s="97"/>
      <c r="H21" s="91"/>
      <c r="I21" s="91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92"/>
      <c r="E22" s="92"/>
      <c r="F22" s="92"/>
      <c r="G22" s="96"/>
      <c r="H22" s="92"/>
      <c r="I22" s="9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91"/>
      <c r="E23" s="91"/>
      <c r="F23" s="91"/>
      <c r="G23" s="97"/>
      <c r="H23" s="91"/>
      <c r="I23" s="91"/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92"/>
      <c r="E24" s="92"/>
      <c r="F24" s="92"/>
      <c r="G24" s="96"/>
      <c r="H24" s="92"/>
      <c r="I24" s="9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2"/>
      <c r="D25" s="91"/>
      <c r="E25" s="91"/>
      <c r="F25" s="91"/>
      <c r="G25" s="97"/>
      <c r="H25" s="91"/>
      <c r="I25" s="91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92"/>
      <c r="E26" s="92"/>
      <c r="F26" s="92"/>
      <c r="G26" s="96"/>
      <c r="H26" s="92"/>
      <c r="I26" s="9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91"/>
      <c r="E27" s="91"/>
      <c r="F27" s="91"/>
      <c r="G27" s="97"/>
      <c r="H27" s="91"/>
      <c r="I27" s="91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92"/>
      <c r="E28" s="92"/>
      <c r="F28" s="92"/>
      <c r="G28" s="96"/>
      <c r="H28" s="92"/>
      <c r="I28" s="9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91"/>
      <c r="E29" s="91"/>
      <c r="F29" s="91"/>
      <c r="G29" s="97"/>
      <c r="H29" s="91"/>
      <c r="I29" s="91"/>
      <c r="J29" s="2"/>
      <c r="K29" s="2"/>
    </row>
    <row r="30" customFormat="false" ht="24" hidden="false" customHeight="true" outlineLevel="0" collapsed="false">
      <c r="A30" s="2"/>
      <c r="B30" s="2"/>
      <c r="C30" s="2"/>
      <c r="D30" s="92"/>
      <c r="E30" s="92"/>
      <c r="F30" s="92"/>
      <c r="G30" s="96"/>
      <c r="H30" s="92"/>
      <c r="I30" s="92"/>
      <c r="J30" s="2"/>
      <c r="K30" s="2"/>
    </row>
    <row r="31" customFormat="false" ht="24" hidden="false" customHeight="true" outlineLevel="0" collapsed="false">
      <c r="A31" s="2"/>
      <c r="B31" s="2"/>
      <c r="C31" s="2"/>
      <c r="D31" s="91"/>
      <c r="E31" s="91"/>
      <c r="F31" s="91"/>
      <c r="G31" s="97"/>
      <c r="H31" s="91"/>
      <c r="I31" s="91"/>
      <c r="J31" s="2"/>
      <c r="K31" s="2"/>
    </row>
    <row r="32" customFormat="false" ht="24" hidden="false" customHeight="true" outlineLevel="0" collapsed="false">
      <c r="A32" s="2"/>
      <c r="B32" s="2"/>
      <c r="C32" s="2"/>
      <c r="D32" s="92"/>
      <c r="E32" s="92"/>
      <c r="F32" s="92"/>
      <c r="G32" s="96"/>
      <c r="H32" s="92"/>
      <c r="I32" s="92"/>
      <c r="J32" s="2"/>
      <c r="K32" s="2"/>
    </row>
    <row r="33" customFormat="false" ht="24" hidden="false" customHeight="true" outlineLevel="0" collapsed="false">
      <c r="A33" s="2"/>
      <c r="B33" s="2"/>
      <c r="C33" s="2"/>
      <c r="D33" s="91"/>
      <c r="E33" s="91"/>
      <c r="F33" s="91"/>
      <c r="G33" s="97"/>
      <c r="H33" s="91"/>
      <c r="I33" s="91"/>
      <c r="J33" s="2"/>
      <c r="K33" s="2"/>
    </row>
    <row r="34" customFormat="false" ht="24" hidden="false" customHeight="true" outlineLevel="0" collapsed="false">
      <c r="A34" s="2"/>
      <c r="B34" s="2"/>
      <c r="C34" s="2"/>
      <c r="D34" s="92"/>
      <c r="E34" s="92"/>
      <c r="F34" s="92"/>
      <c r="G34" s="96"/>
      <c r="H34" s="92"/>
      <c r="I34" s="9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31.5" hidden="false" customHeight="true" outlineLevel="0" collapsed="false">
      <c r="A36" s="2"/>
      <c r="B36" s="2"/>
      <c r="C36" s="2"/>
      <c r="D36" s="98" t="s">
        <v>269</v>
      </c>
      <c r="E36" s="98"/>
      <c r="F36" s="98"/>
      <c r="G36" s="99" t="n">
        <f aca="false">SUM(G5:G35)</f>
        <v>7400</v>
      </c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mergeCells count="4">
    <mergeCell ref="B1:I1"/>
    <mergeCell ref="B2:I2"/>
    <mergeCell ref="B4:B5"/>
    <mergeCell ref="D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5C"/>
    <pageSetUpPr fitToPage="false"/>
  </sheetPr>
  <dimension ref="A1:J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5" min="5" style="1" width="26"/>
    <col collapsed="false" customWidth="true" hidden="false" outlineLevel="0" max="8" min="6" style="1" width="22"/>
    <col collapsed="false" customWidth="true" hidden="false" outlineLevel="0" max="9" min="9" style="1" width="5"/>
  </cols>
  <sheetData>
    <row r="1" customFormat="false" ht="43.5" hidden="false" customHeight="true" outlineLevel="0" collapsed="false">
      <c r="A1" s="2"/>
      <c r="B1" s="3" t="s">
        <v>270</v>
      </c>
      <c r="C1" s="3"/>
      <c r="D1" s="3"/>
      <c r="E1" s="3"/>
      <c r="F1" s="3"/>
      <c r="G1" s="3"/>
      <c r="H1" s="3"/>
      <c r="I1" s="2"/>
      <c r="J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2"/>
      <c r="J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2"/>
      <c r="B4" s="6" t="s">
        <v>2</v>
      </c>
      <c r="C4" s="100" t="s">
        <v>271</v>
      </c>
      <c r="D4" s="100"/>
      <c r="E4" s="100"/>
      <c r="F4" s="100"/>
      <c r="G4" s="100"/>
      <c r="H4" s="100"/>
      <c r="I4" s="2"/>
      <c r="J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  <c r="J5" s="2"/>
    </row>
    <row r="6" customFormat="false" ht="31.5" hidden="false" customHeight="true" outlineLevel="0" collapsed="false">
      <c r="A6" s="2"/>
      <c r="B6" s="7" t="s">
        <v>3</v>
      </c>
      <c r="C6" s="22" t="s">
        <v>272</v>
      </c>
      <c r="D6" s="22"/>
      <c r="E6" s="22"/>
      <c r="F6" s="101" t="n">
        <v>10000</v>
      </c>
      <c r="G6" s="2"/>
      <c r="H6" s="2"/>
      <c r="I6" s="2"/>
      <c r="J6" s="2"/>
    </row>
    <row r="7" customFormat="false" ht="31.5" hidden="false" customHeight="true" outlineLevel="0" collapsed="false">
      <c r="A7" s="2"/>
      <c r="B7" s="25" t="s">
        <v>4</v>
      </c>
      <c r="C7" s="102" t="s">
        <v>273</v>
      </c>
      <c r="D7" s="102"/>
      <c r="E7" s="102"/>
      <c r="F7" s="101" t="n">
        <v>6</v>
      </c>
      <c r="G7" s="2"/>
      <c r="H7" s="2"/>
      <c r="I7" s="2"/>
      <c r="J7" s="2"/>
    </row>
    <row r="8" customFormat="false" ht="31.5" hidden="false" customHeight="true" outlineLevel="0" collapsed="false">
      <c r="A8" s="2"/>
      <c r="B8" s="25" t="s">
        <v>6</v>
      </c>
      <c r="C8" s="22" t="s">
        <v>274</v>
      </c>
      <c r="D8" s="22"/>
      <c r="E8" s="22"/>
      <c r="F8" s="101" t="n">
        <f aca="false">F6*F7</f>
        <v>60000</v>
      </c>
      <c r="G8" s="2"/>
      <c r="H8" s="2"/>
      <c r="I8" s="2"/>
      <c r="J8" s="2"/>
    </row>
    <row r="9" customFormat="false" ht="31.5" hidden="false" customHeight="true" outlineLevel="0" collapsed="false">
      <c r="A9" s="2"/>
      <c r="B9" s="25" t="s">
        <v>11</v>
      </c>
      <c r="C9" s="102" t="s">
        <v>275</v>
      </c>
      <c r="D9" s="102"/>
      <c r="E9" s="102"/>
      <c r="F9" s="103" t="n">
        <v>28000</v>
      </c>
      <c r="G9" s="2"/>
      <c r="H9" s="2"/>
      <c r="I9" s="2"/>
      <c r="J9" s="2"/>
    </row>
    <row r="10" customFormat="false" ht="31.5" hidden="false" customHeight="true" outlineLevel="0" collapsed="false">
      <c r="A10" s="2"/>
      <c r="B10" s="25" t="s">
        <v>16</v>
      </c>
      <c r="C10" s="22" t="s">
        <v>276</v>
      </c>
      <c r="D10" s="22"/>
      <c r="E10" s="22"/>
      <c r="F10" s="103" t="n">
        <f aca="false">MAX(0,F8-F9)</f>
        <v>32000</v>
      </c>
      <c r="G10" s="2"/>
      <c r="H10" s="2"/>
      <c r="I10" s="2"/>
      <c r="J10" s="2"/>
    </row>
    <row r="11" customFormat="false" ht="31.5" hidden="false" customHeight="true" outlineLevel="0" collapsed="false">
      <c r="A11" s="2"/>
      <c r="B11" s="7" t="s">
        <v>21</v>
      </c>
      <c r="C11" s="102" t="s">
        <v>277</v>
      </c>
      <c r="D11" s="102"/>
      <c r="E11" s="102"/>
      <c r="F11" s="104" t="n">
        <f aca="false">IF(F8&gt;0,MIN(F9/F8,1),0)</f>
        <v>0.466666666666667</v>
      </c>
      <c r="G11" s="2"/>
      <c r="H11" s="2"/>
      <c r="I11" s="2"/>
      <c r="J11" s="2"/>
    </row>
    <row r="12" customFormat="false" ht="25.5" hidden="false" customHeight="true" outlineLevel="0" collapsed="false">
      <c r="A12" s="2"/>
      <c r="B12" s="25" t="s">
        <v>26</v>
      </c>
      <c r="C12" s="2"/>
      <c r="D12" s="2"/>
      <c r="E12" s="2"/>
      <c r="F12" s="2"/>
      <c r="G12" s="2"/>
      <c r="H12" s="2"/>
      <c r="I12" s="2"/>
      <c r="J12" s="2"/>
    </row>
    <row r="13" customFormat="false" ht="25.5" hidden="false" customHeight="true" outlineLevel="0" collapsed="false">
      <c r="A13" s="2"/>
      <c r="B13" s="25" t="s">
        <v>31</v>
      </c>
      <c r="C13" s="2"/>
      <c r="D13" s="2"/>
      <c r="E13" s="2"/>
      <c r="F13" s="2"/>
      <c r="G13" s="2"/>
      <c r="H13" s="2"/>
      <c r="I13" s="2"/>
      <c r="J13" s="2"/>
    </row>
    <row r="14" customFormat="false" ht="31.5" hidden="false" customHeight="true" outlineLevel="0" collapsed="false">
      <c r="A14" s="2"/>
      <c r="B14" s="25" t="s">
        <v>36</v>
      </c>
      <c r="C14" s="21" t="s">
        <v>278</v>
      </c>
      <c r="D14" s="21"/>
      <c r="E14" s="21"/>
      <c r="F14" s="21"/>
      <c r="G14" s="21"/>
      <c r="H14" s="21"/>
      <c r="I14" s="2"/>
      <c r="J14" s="2"/>
    </row>
    <row r="15" customFormat="false" ht="42" hidden="false" customHeight="true" outlineLevel="0" collapsed="false">
      <c r="A15" s="2"/>
      <c r="B15" s="26" t="s">
        <v>41</v>
      </c>
      <c r="C15" s="2"/>
      <c r="D15" s="105" t="s">
        <v>191</v>
      </c>
      <c r="E15" s="105" t="s">
        <v>193</v>
      </c>
      <c r="F15" s="105" t="s">
        <v>194</v>
      </c>
      <c r="G15" s="105" t="s">
        <v>279</v>
      </c>
      <c r="H15" s="105" t="s">
        <v>106</v>
      </c>
      <c r="I15" s="2"/>
      <c r="J15" s="2"/>
    </row>
    <row r="16" customFormat="false" ht="25.5" hidden="false" customHeight="true" outlineLevel="0" collapsed="false">
      <c r="A16" s="2"/>
      <c r="B16" s="25" t="s">
        <v>42</v>
      </c>
      <c r="C16" s="2"/>
      <c r="D16" s="12" t="s">
        <v>196</v>
      </c>
      <c r="E16" s="12" t="s">
        <v>280</v>
      </c>
      <c r="F16" s="106" t="n">
        <v>5000</v>
      </c>
      <c r="G16" s="12" t="n">
        <v>28000</v>
      </c>
      <c r="H16" s="12" t="s">
        <v>281</v>
      </c>
      <c r="I16" s="2"/>
      <c r="J16" s="2"/>
    </row>
    <row r="17" customFormat="false" ht="25.5" hidden="false" customHeight="true" outlineLevel="0" collapsed="false">
      <c r="A17" s="2"/>
      <c r="B17" s="25" t="s">
        <v>44</v>
      </c>
      <c r="C17" s="2"/>
      <c r="D17" s="32" t="s">
        <v>282</v>
      </c>
      <c r="E17" s="32" t="s">
        <v>280</v>
      </c>
      <c r="F17" s="107" t="n">
        <v>5000</v>
      </c>
      <c r="G17" s="32" t="n">
        <v>23000</v>
      </c>
      <c r="H17" s="32"/>
      <c r="I17" s="2"/>
      <c r="J17" s="2"/>
    </row>
    <row r="18" customFormat="false" ht="25.5" hidden="false" customHeight="true" outlineLevel="0" collapsed="false">
      <c r="A18" s="2"/>
      <c r="B18" s="7" t="s">
        <v>48</v>
      </c>
      <c r="C18" s="2"/>
      <c r="D18" s="12" t="s">
        <v>283</v>
      </c>
      <c r="E18" s="12" t="s">
        <v>284</v>
      </c>
      <c r="F18" s="108" t="n">
        <v>-2000</v>
      </c>
      <c r="G18" s="12" t="n">
        <v>18000</v>
      </c>
      <c r="H18" s="12" t="s">
        <v>285</v>
      </c>
      <c r="I18" s="2"/>
      <c r="J18" s="2"/>
    </row>
    <row r="19" customFormat="false" ht="25.5" hidden="false" customHeight="true" outlineLevel="0" collapsed="false">
      <c r="A19" s="2"/>
      <c r="B19" s="25" t="s">
        <v>51</v>
      </c>
      <c r="C19" s="2"/>
      <c r="D19" s="32" t="s">
        <v>286</v>
      </c>
      <c r="E19" s="32" t="s">
        <v>280</v>
      </c>
      <c r="F19" s="107" t="n">
        <v>5000</v>
      </c>
      <c r="G19" s="32" t="n">
        <v>20000</v>
      </c>
      <c r="H19" s="32"/>
      <c r="I19" s="2"/>
      <c r="J19" s="2"/>
    </row>
    <row r="20" customFormat="false" ht="25.5" hidden="false" customHeight="true" outlineLevel="0" collapsed="false">
      <c r="A20" s="2"/>
      <c r="B20" s="25" t="s">
        <v>54</v>
      </c>
      <c r="C20" s="2"/>
      <c r="D20" s="12" t="s">
        <v>287</v>
      </c>
      <c r="E20" s="12" t="s">
        <v>280</v>
      </c>
      <c r="F20" s="106" t="n">
        <v>5000</v>
      </c>
      <c r="G20" s="12" t="n">
        <v>15000</v>
      </c>
      <c r="H20" s="12"/>
      <c r="I20" s="2"/>
      <c r="J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</sheetData>
  <mergeCells count="11">
    <mergeCell ref="B1:H1"/>
    <mergeCell ref="B2:H2"/>
    <mergeCell ref="B4:B5"/>
    <mergeCell ref="C4:H4"/>
    <mergeCell ref="C6:E6"/>
    <mergeCell ref="C7:E7"/>
    <mergeCell ref="C8:E8"/>
    <mergeCell ref="C9:E9"/>
    <mergeCell ref="C10:E10"/>
    <mergeCell ref="C11:E11"/>
    <mergeCell ref="C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B"/>
    <pageSetUpPr fitToPage="false"/>
  </sheetPr>
  <dimension ref="A1:K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6" min="5" style="1" width="20"/>
    <col collapsed="false" customWidth="true" hidden="false" outlineLevel="0" max="9" min="7" style="1" width="18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288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42" hidden="false" customHeight="true" outlineLevel="0" collapsed="false">
      <c r="A5" s="2"/>
      <c r="B5" s="6"/>
      <c r="C5" s="2"/>
      <c r="D5" s="38" t="s">
        <v>130</v>
      </c>
      <c r="E5" s="38" t="s">
        <v>289</v>
      </c>
      <c r="F5" s="38" t="s">
        <v>132</v>
      </c>
      <c r="G5" s="38" t="s">
        <v>290</v>
      </c>
      <c r="H5" s="38" t="s">
        <v>291</v>
      </c>
      <c r="I5" s="38" t="s">
        <v>134</v>
      </c>
      <c r="J5" s="2"/>
      <c r="K5" s="2"/>
    </row>
    <row r="6" customFormat="false" ht="25.5" hidden="false" customHeight="true" outlineLevel="0" collapsed="false">
      <c r="A6" s="2"/>
      <c r="B6" s="7" t="s">
        <v>3</v>
      </c>
      <c r="C6" s="2"/>
      <c r="D6" s="74" t="s">
        <v>292</v>
      </c>
      <c r="E6" s="41" t="n">
        <v>300000</v>
      </c>
      <c r="F6" s="42" t="n">
        <v>200000</v>
      </c>
      <c r="G6" s="109" t="n">
        <f aca="false">F6/E6</f>
        <v>0.666666666666667</v>
      </c>
      <c r="H6" s="110" t="s">
        <v>293</v>
      </c>
      <c r="I6" s="44" t="s">
        <v>294</v>
      </c>
      <c r="J6" s="2"/>
      <c r="K6" s="2"/>
    </row>
    <row r="7" customFormat="false" ht="25.5" hidden="false" customHeight="true" outlineLevel="0" collapsed="false">
      <c r="A7" s="2"/>
      <c r="B7" s="25" t="s">
        <v>4</v>
      </c>
      <c r="C7" s="2"/>
      <c r="D7" s="85" t="s">
        <v>295</v>
      </c>
      <c r="E7" s="47" t="n">
        <v>15000</v>
      </c>
      <c r="F7" s="111" t="n">
        <v>8000</v>
      </c>
      <c r="G7" s="109" t="n">
        <f aca="false">F7/E7</f>
        <v>0.533333333333333</v>
      </c>
      <c r="H7" s="112" t="s">
        <v>296</v>
      </c>
      <c r="I7" s="44" t="s">
        <v>294</v>
      </c>
      <c r="J7" s="2"/>
      <c r="K7" s="2"/>
    </row>
    <row r="8" customFormat="false" ht="25.5" hidden="false" customHeight="true" outlineLevel="0" collapsed="false">
      <c r="A8" s="2"/>
      <c r="B8" s="25" t="s">
        <v>6</v>
      </c>
      <c r="C8" s="2"/>
      <c r="D8" s="86" t="s">
        <v>297</v>
      </c>
      <c r="E8" s="41" t="n">
        <v>20000</v>
      </c>
      <c r="F8" s="113" t="n">
        <v>12000</v>
      </c>
      <c r="G8" s="109" t="n">
        <f aca="false">F8/E8</f>
        <v>0.6</v>
      </c>
      <c r="H8" s="110" t="s">
        <v>298</v>
      </c>
      <c r="I8" s="44" t="s">
        <v>294</v>
      </c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2"/>
      <c r="D9" s="114" t="s">
        <v>299</v>
      </c>
      <c r="E9" s="47" t="n">
        <v>25000</v>
      </c>
      <c r="F9" s="54" t="n">
        <v>5000</v>
      </c>
      <c r="G9" s="115" t="n">
        <f aca="false">F9/E9</f>
        <v>0.2</v>
      </c>
      <c r="H9" s="112" t="s">
        <v>300</v>
      </c>
      <c r="I9" s="56" t="s">
        <v>301</v>
      </c>
      <c r="J9" s="2"/>
      <c r="K9" s="2"/>
    </row>
    <row r="10" customFormat="false" ht="25.5" hidden="false" customHeight="true" outlineLevel="0" collapsed="false">
      <c r="A10" s="2"/>
      <c r="B10" s="25" t="s">
        <v>16</v>
      </c>
      <c r="C10" s="2"/>
      <c r="D10" s="74" t="s">
        <v>302</v>
      </c>
      <c r="E10" s="41" t="n">
        <v>80000</v>
      </c>
      <c r="F10" s="42" t="n">
        <v>35000</v>
      </c>
      <c r="G10" s="115" t="n">
        <f aca="false">F10/E10</f>
        <v>0.4375</v>
      </c>
      <c r="H10" s="110" t="s">
        <v>303</v>
      </c>
      <c r="I10" s="56" t="s">
        <v>301</v>
      </c>
      <c r="J10" s="2"/>
      <c r="K10" s="2"/>
    </row>
    <row r="11" customFormat="false" ht="25.5" hidden="false" customHeight="true" outlineLevel="0" collapsed="false">
      <c r="A11" s="2"/>
      <c r="B11" s="7" t="s">
        <v>21</v>
      </c>
      <c r="C11" s="2"/>
      <c r="D11" s="116" t="s">
        <v>304</v>
      </c>
      <c r="E11" s="47" t="n">
        <v>30000</v>
      </c>
      <c r="F11" s="117" t="n">
        <v>30000</v>
      </c>
      <c r="G11" s="118" t="n">
        <f aca="false">F11/E11</f>
        <v>1</v>
      </c>
      <c r="H11" s="112" t="s">
        <v>305</v>
      </c>
      <c r="I11" s="63" t="s">
        <v>151</v>
      </c>
      <c r="J11" s="2"/>
      <c r="K11" s="2"/>
    </row>
    <row r="12" customFormat="false" ht="25.5" hidden="false" customHeight="true" outlineLevel="0" collapsed="false">
      <c r="A12" s="2"/>
      <c r="B12" s="25" t="s">
        <v>26</v>
      </c>
      <c r="C12" s="2"/>
      <c r="D12" s="81" t="s">
        <v>306</v>
      </c>
      <c r="E12" s="41" t="n">
        <v>50000</v>
      </c>
      <c r="F12" s="51" t="n">
        <v>10000</v>
      </c>
      <c r="G12" s="115" t="n">
        <f aca="false">F12/E12</f>
        <v>0.2</v>
      </c>
      <c r="H12" s="110" t="s">
        <v>307</v>
      </c>
      <c r="I12" s="56" t="s">
        <v>301</v>
      </c>
      <c r="J12" s="2"/>
      <c r="K12" s="2"/>
    </row>
    <row r="13" customFormat="false" ht="25.5" hidden="false" customHeight="true" outlineLevel="0" collapsed="false">
      <c r="A13" s="2"/>
      <c r="B13" s="25" t="s">
        <v>31</v>
      </c>
      <c r="C13" s="2"/>
      <c r="D13" s="2"/>
      <c r="E13" s="2"/>
      <c r="F13" s="2"/>
      <c r="G13" s="2"/>
      <c r="H13" s="2"/>
      <c r="I13" s="2"/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25.5" hidden="false" customHeight="true" outlineLevel="0" collapsed="false">
      <c r="A16" s="2"/>
      <c r="B16" s="26" t="s">
        <v>42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2"/>
      <c r="E18" s="2"/>
      <c r="F18" s="2"/>
      <c r="G18" s="2"/>
      <c r="H18" s="2"/>
      <c r="I18" s="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3">
    <mergeCell ref="B1:I1"/>
    <mergeCell ref="B2:I2"/>
    <mergeCell ref="B4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H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6" min="5" style="1" width="22"/>
    <col collapsed="false" customWidth="true" hidden="false" outlineLevel="0" max="7" min="7" style="1" width="5"/>
  </cols>
  <sheetData>
    <row r="1" customFormat="false" ht="43.5" hidden="false" customHeight="true" outlineLevel="0" collapsed="false">
      <c r="A1" s="2"/>
      <c r="B1" s="3" t="s">
        <v>308</v>
      </c>
      <c r="C1" s="3"/>
      <c r="D1" s="3"/>
      <c r="E1" s="3"/>
      <c r="F1" s="3"/>
      <c r="G1" s="2"/>
      <c r="H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2"/>
      <c r="H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</row>
    <row r="5" customFormat="false" ht="25.5" hidden="false" customHeight="true" outlineLevel="0" collapsed="false">
      <c r="A5" s="2"/>
      <c r="B5" s="6"/>
      <c r="C5" s="119" t="s">
        <v>309</v>
      </c>
      <c r="D5" s="119"/>
      <c r="E5" s="119"/>
      <c r="F5" s="119"/>
      <c r="G5" s="2"/>
      <c r="H5" s="2"/>
    </row>
    <row r="6" customFormat="false" ht="25.5" hidden="false" customHeight="true" outlineLevel="0" collapsed="false">
      <c r="A6" s="2"/>
      <c r="B6" s="7" t="s">
        <v>3</v>
      </c>
      <c r="C6" s="39" t="s">
        <v>135</v>
      </c>
      <c r="D6" s="120" t="s">
        <v>310</v>
      </c>
      <c r="E6" s="61" t="n">
        <v>350000</v>
      </c>
      <c r="F6" s="2"/>
      <c r="G6" s="2"/>
      <c r="H6" s="2"/>
    </row>
    <row r="7" customFormat="false" ht="31.5" hidden="false" customHeight="true" outlineLevel="0" collapsed="false">
      <c r="A7" s="2"/>
      <c r="B7" s="25" t="s">
        <v>4</v>
      </c>
      <c r="C7" s="45" t="s">
        <v>179</v>
      </c>
      <c r="D7" s="121" t="s">
        <v>311</v>
      </c>
      <c r="E7" s="117" t="n">
        <v>85000</v>
      </c>
      <c r="F7" s="2"/>
      <c r="G7" s="2"/>
      <c r="H7" s="2"/>
    </row>
    <row r="8" customFormat="false" ht="31.5" hidden="false" customHeight="true" outlineLevel="0" collapsed="false">
      <c r="A8" s="2"/>
      <c r="B8" s="25" t="s">
        <v>6</v>
      </c>
      <c r="C8" s="39" t="s">
        <v>312</v>
      </c>
      <c r="D8" s="120" t="s">
        <v>313</v>
      </c>
      <c r="E8" s="61" t="n">
        <v>45000</v>
      </c>
      <c r="F8" s="2"/>
      <c r="G8" s="2"/>
      <c r="H8" s="2"/>
    </row>
    <row r="9" customFormat="false" ht="25.5" hidden="false" customHeight="true" outlineLevel="0" collapsed="false">
      <c r="A9" s="2"/>
      <c r="B9" s="25" t="s">
        <v>11</v>
      </c>
      <c r="C9" s="45" t="s">
        <v>314</v>
      </c>
      <c r="D9" s="121" t="s">
        <v>315</v>
      </c>
      <c r="E9" s="117" t="n">
        <v>25000</v>
      </c>
      <c r="F9" s="2"/>
      <c r="G9" s="2"/>
      <c r="H9" s="2"/>
    </row>
    <row r="10" customFormat="false" ht="25.5" hidden="false" customHeight="true" outlineLevel="0" collapsed="false">
      <c r="A10" s="2"/>
      <c r="B10" s="25" t="s">
        <v>16</v>
      </c>
      <c r="C10" s="39" t="s">
        <v>147</v>
      </c>
      <c r="D10" s="120" t="s">
        <v>316</v>
      </c>
      <c r="E10" s="61" t="n">
        <v>65000</v>
      </c>
      <c r="F10" s="2"/>
      <c r="G10" s="2"/>
      <c r="H10" s="2"/>
    </row>
    <row r="11" customFormat="false" ht="25.5" hidden="false" customHeight="true" outlineLevel="0" collapsed="false">
      <c r="A11" s="2"/>
      <c r="B11" s="7" t="s">
        <v>21</v>
      </c>
      <c r="C11" s="45" t="s">
        <v>187</v>
      </c>
      <c r="D11" s="121" t="s">
        <v>317</v>
      </c>
      <c r="E11" s="117" t="n">
        <v>10000</v>
      </c>
      <c r="F11" s="2"/>
      <c r="G11" s="2"/>
      <c r="H11" s="2"/>
    </row>
    <row r="12" customFormat="false" ht="25.5" hidden="false" customHeight="true" outlineLevel="0" collapsed="false">
      <c r="A12" s="2"/>
      <c r="B12" s="25" t="s">
        <v>26</v>
      </c>
      <c r="C12" s="122" t="s">
        <v>318</v>
      </c>
      <c r="D12" s="122"/>
      <c r="E12" s="123" t="n">
        <f aca="false">SUM(E6:E11)</f>
        <v>580000</v>
      </c>
      <c r="F12" s="2"/>
      <c r="G12" s="2"/>
      <c r="H12" s="2"/>
    </row>
    <row r="13" customFormat="false" ht="25.5" hidden="false" customHeight="true" outlineLevel="0" collapsed="false">
      <c r="A13" s="2"/>
      <c r="B13" s="25" t="s">
        <v>31</v>
      </c>
      <c r="C13" s="2"/>
      <c r="D13" s="2"/>
      <c r="E13" s="2"/>
      <c r="F13" s="2"/>
      <c r="G13" s="2"/>
      <c r="H13" s="2"/>
    </row>
    <row r="14" customFormat="false" ht="25.5" hidden="false" customHeight="true" outlineLevel="0" collapsed="false">
      <c r="A14" s="2"/>
      <c r="B14" s="25" t="s">
        <v>36</v>
      </c>
      <c r="C14" s="124" t="s">
        <v>319</v>
      </c>
      <c r="D14" s="124"/>
      <c r="E14" s="124"/>
      <c r="F14" s="124"/>
      <c r="G14" s="2"/>
      <c r="H14" s="2"/>
    </row>
    <row r="15" customFormat="false" ht="31.5" hidden="false" customHeight="true" outlineLevel="0" collapsed="false">
      <c r="A15" s="2"/>
      <c r="B15" s="25" t="s">
        <v>41</v>
      </c>
      <c r="C15" s="39" t="s">
        <v>135</v>
      </c>
      <c r="D15" s="120" t="s">
        <v>320</v>
      </c>
      <c r="E15" s="125" t="n">
        <v>180000</v>
      </c>
      <c r="F15" s="2"/>
      <c r="G15" s="2"/>
      <c r="H15" s="2"/>
    </row>
    <row r="16" customFormat="false" ht="31.5" hidden="false" customHeight="true" outlineLevel="0" collapsed="false">
      <c r="A16" s="2"/>
      <c r="B16" s="25" t="s">
        <v>42</v>
      </c>
      <c r="C16" s="45" t="s">
        <v>147</v>
      </c>
      <c r="D16" s="121" t="s">
        <v>321</v>
      </c>
      <c r="E16" s="126" t="n">
        <v>25000</v>
      </c>
      <c r="F16" s="2"/>
      <c r="G16" s="2"/>
      <c r="H16" s="2"/>
    </row>
    <row r="17" customFormat="false" ht="31.5" hidden="false" customHeight="true" outlineLevel="0" collapsed="false">
      <c r="A17" s="2"/>
      <c r="B17" s="26" t="s">
        <v>44</v>
      </c>
      <c r="C17" s="39" t="s">
        <v>187</v>
      </c>
      <c r="D17" s="120" t="s">
        <v>322</v>
      </c>
      <c r="E17" s="125" t="n">
        <v>5000</v>
      </c>
      <c r="F17" s="2"/>
      <c r="G17" s="2"/>
      <c r="H17" s="2"/>
    </row>
    <row r="18" customFormat="false" ht="31.5" hidden="false" customHeight="true" outlineLevel="0" collapsed="false">
      <c r="A18" s="2"/>
      <c r="B18" s="7" t="s">
        <v>48</v>
      </c>
      <c r="C18" s="98" t="s">
        <v>323</v>
      </c>
      <c r="D18" s="98"/>
      <c r="E18" s="99" t="n">
        <f aca="false">SUM(E15:E17)</f>
        <v>210000</v>
      </c>
      <c r="F18" s="2"/>
      <c r="G18" s="2"/>
      <c r="H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</row>
    <row r="20" customFormat="false" ht="36" hidden="false" customHeight="true" outlineLevel="0" collapsed="false">
      <c r="A20" s="2"/>
      <c r="B20" s="25" t="s">
        <v>54</v>
      </c>
      <c r="C20" s="127" t="s">
        <v>324</v>
      </c>
      <c r="D20" s="127"/>
      <c r="E20" s="128" t="n">
        <f aca="false">E12-E18</f>
        <v>370000</v>
      </c>
      <c r="F20" s="128"/>
      <c r="G20" s="2"/>
      <c r="H20" s="2"/>
    </row>
    <row r="21" customFormat="false" ht="25.5" hidden="false" customHeight="true" outlineLevel="0" collapsed="false">
      <c r="A21" s="2"/>
      <c r="B21" s="25" t="s">
        <v>57</v>
      </c>
      <c r="C21" s="127"/>
      <c r="D21" s="127"/>
      <c r="E21" s="128"/>
      <c r="F21" s="128"/>
      <c r="G21" s="2"/>
      <c r="H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</row>
  </sheetData>
  <mergeCells count="9">
    <mergeCell ref="B1:F1"/>
    <mergeCell ref="B2:F2"/>
    <mergeCell ref="B4:B5"/>
    <mergeCell ref="C5:F5"/>
    <mergeCell ref="C12:D12"/>
    <mergeCell ref="C14:F14"/>
    <mergeCell ref="C18:D18"/>
    <mergeCell ref="C20:D21"/>
    <mergeCell ref="E20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I6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7" min="5" style="1" width="22"/>
    <col collapsed="false" customWidth="true" hidden="false" outlineLevel="0" max="8" min="8" style="1" width="5"/>
  </cols>
  <sheetData>
    <row r="1" customFormat="false" ht="43.5" hidden="false" customHeight="true" outlineLevel="0" collapsed="false">
      <c r="A1" s="2"/>
      <c r="B1" s="3" t="s">
        <v>325</v>
      </c>
      <c r="C1" s="3"/>
      <c r="D1" s="3"/>
      <c r="E1" s="3"/>
      <c r="F1" s="3"/>
      <c r="G1" s="3"/>
      <c r="H1" s="2"/>
      <c r="I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2"/>
      <c r="I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2"/>
      <c r="B4" s="6" t="s">
        <v>2</v>
      </c>
      <c r="C4" s="129" t="s">
        <v>326</v>
      </c>
      <c r="D4" s="129"/>
      <c r="E4" s="129"/>
      <c r="F4" s="129"/>
      <c r="G4" s="129"/>
      <c r="H4" s="2"/>
      <c r="I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</row>
    <row r="6" customFormat="false" ht="31.5" hidden="false" customHeight="true" outlineLevel="0" collapsed="false">
      <c r="A6" s="2"/>
      <c r="B6" s="7" t="s">
        <v>3</v>
      </c>
      <c r="C6" s="21" t="s">
        <v>327</v>
      </c>
      <c r="D6" s="21"/>
      <c r="E6" s="21"/>
      <c r="F6" s="21"/>
      <c r="G6" s="21"/>
      <c r="H6" s="2"/>
      <c r="I6" s="2"/>
    </row>
    <row r="7" customFormat="false" ht="42" hidden="false" customHeight="true" outlineLevel="0" collapsed="false">
      <c r="A7" s="2"/>
      <c r="B7" s="25" t="s">
        <v>4</v>
      </c>
      <c r="C7" s="2"/>
      <c r="D7" s="105" t="s">
        <v>328</v>
      </c>
      <c r="E7" s="105" t="s">
        <v>329</v>
      </c>
      <c r="F7" s="105" t="s">
        <v>330</v>
      </c>
      <c r="G7" s="105" t="s">
        <v>331</v>
      </c>
      <c r="H7" s="2"/>
      <c r="I7" s="2"/>
    </row>
    <row r="8" customFormat="false" ht="31.5" hidden="false" customHeight="true" outlineLevel="0" collapsed="false">
      <c r="A8" s="2"/>
      <c r="B8" s="25" t="s">
        <v>6</v>
      </c>
      <c r="C8" s="2"/>
      <c r="D8" s="120" t="s">
        <v>332</v>
      </c>
      <c r="E8" s="75" t="n">
        <v>85000</v>
      </c>
      <c r="F8" s="130" t="s">
        <v>333</v>
      </c>
      <c r="G8" s="42" t="n">
        <f aca="false">IF(F8="✅ نعم",E8*0.025,0)</f>
        <v>2125</v>
      </c>
      <c r="H8" s="2"/>
      <c r="I8" s="2"/>
    </row>
    <row r="9" customFormat="false" ht="25.5" hidden="false" customHeight="true" outlineLevel="0" collapsed="false">
      <c r="A9" s="2"/>
      <c r="B9" s="25" t="s">
        <v>11</v>
      </c>
      <c r="C9" s="2"/>
      <c r="D9" s="121" t="s">
        <v>334</v>
      </c>
      <c r="E9" s="75" t="n">
        <v>25000</v>
      </c>
      <c r="F9" s="130" t="s">
        <v>333</v>
      </c>
      <c r="G9" s="58" t="n">
        <f aca="false">IF(F9="✅ نعم",E9*0.025,0)</f>
        <v>625</v>
      </c>
      <c r="H9" s="2"/>
      <c r="I9" s="2"/>
    </row>
    <row r="10" customFormat="false" ht="31.5" hidden="false" customHeight="true" outlineLevel="0" collapsed="false">
      <c r="A10" s="2"/>
      <c r="B10" s="25" t="s">
        <v>16</v>
      </c>
      <c r="C10" s="2"/>
      <c r="D10" s="120" t="s">
        <v>335</v>
      </c>
      <c r="E10" s="75" t="n">
        <v>45000</v>
      </c>
      <c r="F10" s="130" t="s">
        <v>333</v>
      </c>
      <c r="G10" s="42" t="n">
        <f aca="false">IF(F10="✅ نعم",E10*0.025,0)</f>
        <v>1125</v>
      </c>
      <c r="H10" s="2"/>
      <c r="I10" s="2"/>
    </row>
    <row r="11" customFormat="false" ht="25.5" hidden="false" customHeight="true" outlineLevel="0" collapsed="false">
      <c r="A11" s="2"/>
      <c r="B11" s="7" t="s">
        <v>21</v>
      </c>
      <c r="C11" s="2"/>
      <c r="D11" s="121" t="s">
        <v>336</v>
      </c>
      <c r="E11" s="75" t="n">
        <v>0</v>
      </c>
      <c r="F11" s="131" t="s">
        <v>337</v>
      </c>
      <c r="G11" s="58" t="n">
        <f aca="false">IF(F11="✅ نعم",E11*0.025,0)</f>
        <v>0</v>
      </c>
      <c r="H11" s="2"/>
      <c r="I11" s="2"/>
    </row>
    <row r="12" customFormat="false" ht="31.5" hidden="false" customHeight="true" outlineLevel="0" collapsed="false">
      <c r="A12" s="2"/>
      <c r="B12" s="25" t="s">
        <v>26</v>
      </c>
      <c r="C12" s="2"/>
      <c r="D12" s="120" t="s">
        <v>338</v>
      </c>
      <c r="E12" s="75" t="n">
        <v>0</v>
      </c>
      <c r="F12" s="131" t="s">
        <v>337</v>
      </c>
      <c r="G12" s="42" t="n">
        <f aca="false">IF(F12="✅ نعم",E12*0.025,0)</f>
        <v>0</v>
      </c>
      <c r="H12" s="2"/>
      <c r="I12" s="2"/>
    </row>
    <row r="13" customFormat="false" ht="31.5" hidden="false" customHeight="true" outlineLevel="0" collapsed="false">
      <c r="A13" s="2"/>
      <c r="B13" s="25" t="s">
        <v>31</v>
      </c>
      <c r="C13" s="2"/>
      <c r="D13" s="121" t="s">
        <v>339</v>
      </c>
      <c r="E13" s="75" t="n">
        <v>12000</v>
      </c>
      <c r="F13" s="130" t="s">
        <v>333</v>
      </c>
      <c r="G13" s="58" t="n">
        <f aca="false">IF(F13="✅ نعم",E13*0.025,0)</f>
        <v>300</v>
      </c>
      <c r="H13" s="2"/>
      <c r="I13" s="2"/>
    </row>
    <row r="14" customFormat="false" ht="25.5" hidden="false" customHeight="true" outlineLevel="0" collapsed="false">
      <c r="A14" s="2"/>
      <c r="B14" s="25" t="s">
        <v>36</v>
      </c>
      <c r="C14" s="2"/>
      <c r="D14" s="120" t="s">
        <v>340</v>
      </c>
      <c r="E14" s="75" t="n">
        <v>0</v>
      </c>
      <c r="F14" s="131" t="s">
        <v>337</v>
      </c>
      <c r="G14" s="42" t="n">
        <f aca="false">IF(F14="✅ نعم",E14*0.025,0)</f>
        <v>0</v>
      </c>
      <c r="H14" s="2"/>
      <c r="I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</row>
    <row r="16" customFormat="false" ht="36" hidden="false" customHeight="true" outlineLevel="0" collapsed="false">
      <c r="A16" s="2"/>
      <c r="B16" s="25" t="s">
        <v>42</v>
      </c>
      <c r="C16" s="2"/>
      <c r="D16" s="132" t="s">
        <v>341</v>
      </c>
      <c r="E16" s="132"/>
      <c r="F16" s="132"/>
      <c r="G16" s="133" t="n">
        <f aca="false">SUM(G8:G14)</f>
        <v>4175</v>
      </c>
      <c r="H16" s="2"/>
      <c r="I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</row>
    <row r="18" customFormat="false" ht="31.5" hidden="false" customHeight="true" outlineLevel="0" collapsed="false">
      <c r="A18" s="2"/>
      <c r="B18" s="7" t="s">
        <v>48</v>
      </c>
      <c r="C18" s="129" t="s">
        <v>342</v>
      </c>
      <c r="D18" s="129"/>
      <c r="E18" s="129"/>
      <c r="F18" s="129"/>
      <c r="G18" s="129"/>
      <c r="H18" s="2"/>
      <c r="I18" s="2"/>
    </row>
    <row r="19" customFormat="false" ht="25.5" hidden="false" customHeight="true" outlineLevel="0" collapsed="false">
      <c r="A19" s="2"/>
      <c r="B19" s="26" t="s">
        <v>51</v>
      </c>
      <c r="C19" s="2"/>
      <c r="D19" s="22" t="s">
        <v>343</v>
      </c>
      <c r="E19" s="22"/>
      <c r="F19" s="134" t="s">
        <v>344</v>
      </c>
      <c r="G19" s="134"/>
      <c r="H19" s="2"/>
      <c r="I19" s="2"/>
    </row>
    <row r="20" customFormat="false" ht="25.5" hidden="false" customHeight="true" outlineLevel="0" collapsed="false">
      <c r="A20" s="2"/>
      <c r="B20" s="25" t="s">
        <v>54</v>
      </c>
      <c r="C20" s="2"/>
      <c r="D20" s="22" t="s">
        <v>345</v>
      </c>
      <c r="E20" s="22"/>
      <c r="F20" s="134" t="n">
        <v>4125</v>
      </c>
      <c r="G20" s="134"/>
      <c r="H20" s="2"/>
      <c r="I20" s="2"/>
    </row>
    <row r="21" customFormat="false" ht="25.5" hidden="false" customHeight="true" outlineLevel="0" collapsed="false">
      <c r="A21" s="2"/>
      <c r="B21" s="25" t="s">
        <v>57</v>
      </c>
      <c r="C21" s="2"/>
      <c r="D21" s="22" t="s">
        <v>346</v>
      </c>
      <c r="E21" s="22"/>
      <c r="F21" s="134" t="s">
        <v>344</v>
      </c>
      <c r="G21" s="134"/>
      <c r="H21" s="2"/>
      <c r="I21" s="2"/>
    </row>
    <row r="22" customFormat="false" ht="25.5" hidden="false" customHeight="true" outlineLevel="0" collapsed="false">
      <c r="A22" s="2"/>
      <c r="B22" s="29" t="s">
        <v>61</v>
      </c>
      <c r="C22" s="2"/>
      <c r="D22" s="22" t="s">
        <v>347</v>
      </c>
      <c r="E22" s="22"/>
      <c r="F22" s="134" t="s">
        <v>348</v>
      </c>
      <c r="G22" s="134"/>
      <c r="H22" s="2"/>
      <c r="I22" s="2"/>
    </row>
    <row r="23" customFormat="false" ht="25.5" hidden="false" customHeight="true" outlineLevel="0" collapsed="false">
      <c r="A23" s="2"/>
      <c r="B23" s="25" t="s">
        <v>65</v>
      </c>
      <c r="C23" s="2"/>
      <c r="D23" s="22" t="s">
        <v>349</v>
      </c>
      <c r="E23" s="22"/>
      <c r="F23" s="134" t="s">
        <v>350</v>
      </c>
      <c r="G23" s="134"/>
      <c r="H23" s="2"/>
      <c r="I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</row>
  </sheetData>
  <mergeCells count="17">
    <mergeCell ref="B1:G1"/>
    <mergeCell ref="B2:G2"/>
    <mergeCell ref="B4:B5"/>
    <mergeCell ref="C4:G4"/>
    <mergeCell ref="C6:G6"/>
    <mergeCell ref="D16:F16"/>
    <mergeCell ref="C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443C"/>
    <pageSetUpPr fitToPage="false"/>
  </sheetPr>
  <dimension ref="A1:J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5"/>
  </cols>
  <sheetData>
    <row r="1" customFormat="false" ht="43.5" hidden="false" customHeight="true" outlineLevel="0" collapsed="false">
      <c r="A1" s="2"/>
      <c r="B1" s="3" t="s">
        <v>351</v>
      </c>
      <c r="C1" s="3"/>
      <c r="D1" s="3"/>
      <c r="E1" s="3"/>
      <c r="F1" s="3"/>
      <c r="G1" s="3"/>
      <c r="H1" s="3"/>
      <c r="I1" s="2"/>
      <c r="J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2"/>
      <c r="J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1.5" hidden="false" customHeight="true" outlineLevel="0" collapsed="false">
      <c r="A4" s="2"/>
      <c r="B4" s="6" t="s">
        <v>2</v>
      </c>
      <c r="C4" s="135" t="s">
        <v>352</v>
      </c>
      <c r="D4" s="135"/>
      <c r="E4" s="135"/>
      <c r="F4" s="135"/>
      <c r="G4" s="135"/>
      <c r="H4" s="135"/>
      <c r="I4" s="2"/>
      <c r="J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  <c r="J5" s="2"/>
    </row>
    <row r="6" customFormat="false" ht="31.5" hidden="false" customHeight="true" outlineLevel="0" collapsed="false">
      <c r="A6" s="2"/>
      <c r="B6" s="7" t="s">
        <v>3</v>
      </c>
      <c r="C6" s="22" t="s">
        <v>353</v>
      </c>
      <c r="D6" s="22"/>
      <c r="E6" s="22"/>
      <c r="F6" s="101" t="n">
        <v>500</v>
      </c>
      <c r="G6" s="2"/>
      <c r="H6" s="2"/>
      <c r="I6" s="2"/>
      <c r="J6" s="2"/>
    </row>
    <row r="7" customFormat="false" ht="31.5" hidden="false" customHeight="true" outlineLevel="0" collapsed="false">
      <c r="A7" s="2"/>
      <c r="B7" s="25" t="s">
        <v>4</v>
      </c>
      <c r="C7" s="22" t="s">
        <v>354</v>
      </c>
      <c r="D7" s="22"/>
      <c r="E7" s="22"/>
      <c r="F7" s="101" t="n">
        <f aca="false">SUM(G11:G26)</f>
        <v>2200</v>
      </c>
      <c r="G7" s="2"/>
      <c r="H7" s="2"/>
      <c r="I7" s="2"/>
      <c r="J7" s="2"/>
    </row>
    <row r="8" customFormat="false" ht="25.5" hidden="false" customHeight="true" outlineLevel="0" collapsed="false">
      <c r="A8" s="2"/>
      <c r="B8" s="25" t="s">
        <v>6</v>
      </c>
      <c r="C8" s="22" t="s">
        <v>355</v>
      </c>
      <c r="D8" s="22"/>
      <c r="E8" s="22"/>
      <c r="F8" s="101" t="n">
        <f aca="false">D6-D7</f>
        <v>0</v>
      </c>
      <c r="G8" s="2"/>
      <c r="H8" s="2"/>
      <c r="I8" s="2"/>
      <c r="J8" s="2"/>
    </row>
    <row r="9" customFormat="false" ht="25.5" hidden="false" customHeight="true" outlineLevel="0" collapsed="false">
      <c r="A9" s="2"/>
      <c r="B9" s="25" t="s">
        <v>11</v>
      </c>
      <c r="C9" s="2"/>
      <c r="D9" s="2"/>
      <c r="E9" s="2"/>
      <c r="F9" s="2"/>
      <c r="G9" s="2"/>
      <c r="H9" s="2"/>
      <c r="I9" s="2"/>
      <c r="J9" s="2"/>
    </row>
    <row r="10" customFormat="false" ht="42" hidden="false" customHeight="true" outlineLevel="0" collapsed="false">
      <c r="A10" s="2"/>
      <c r="B10" s="25" t="s">
        <v>16</v>
      </c>
      <c r="C10" s="2"/>
      <c r="D10" s="38" t="s">
        <v>191</v>
      </c>
      <c r="E10" s="38" t="s">
        <v>222</v>
      </c>
      <c r="F10" s="38" t="s">
        <v>159</v>
      </c>
      <c r="G10" s="38" t="s">
        <v>194</v>
      </c>
      <c r="H10" s="38" t="s">
        <v>356</v>
      </c>
      <c r="I10" s="2"/>
      <c r="J10" s="2"/>
    </row>
    <row r="11" customFormat="false" ht="25.5" hidden="false" customHeight="true" outlineLevel="0" collapsed="false">
      <c r="A11" s="2"/>
      <c r="B11" s="7" t="s">
        <v>21</v>
      </c>
      <c r="C11" s="2"/>
      <c r="D11" s="12" t="s">
        <v>196</v>
      </c>
      <c r="E11" s="12" t="s">
        <v>357</v>
      </c>
      <c r="F11" s="12" t="s">
        <v>358</v>
      </c>
      <c r="G11" s="136" t="n">
        <v>50</v>
      </c>
      <c r="H11" s="12" t="s">
        <v>359</v>
      </c>
      <c r="I11" s="2"/>
      <c r="J11" s="2"/>
    </row>
    <row r="12" customFormat="false" ht="25.5" hidden="false" customHeight="true" outlineLevel="0" collapsed="false">
      <c r="A12" s="2"/>
      <c r="B12" s="25" t="s">
        <v>26</v>
      </c>
      <c r="C12" s="2"/>
      <c r="D12" s="32" t="s">
        <v>201</v>
      </c>
      <c r="E12" s="32" t="s">
        <v>360</v>
      </c>
      <c r="F12" s="32" t="s">
        <v>361</v>
      </c>
      <c r="G12" s="137" t="n">
        <v>200</v>
      </c>
      <c r="H12" s="32" t="s">
        <v>362</v>
      </c>
      <c r="I12" s="2"/>
      <c r="J12" s="2"/>
    </row>
    <row r="13" customFormat="false" ht="25.5" hidden="false" customHeight="true" outlineLevel="0" collapsed="false">
      <c r="A13" s="2"/>
      <c r="B13" s="25" t="s">
        <v>31</v>
      </c>
      <c r="C13" s="2"/>
      <c r="D13" s="12" t="s">
        <v>205</v>
      </c>
      <c r="E13" s="12" t="s">
        <v>363</v>
      </c>
      <c r="F13" s="12" t="s">
        <v>364</v>
      </c>
      <c r="G13" s="136" t="n">
        <v>300</v>
      </c>
      <c r="H13" s="12" t="s">
        <v>365</v>
      </c>
      <c r="I13" s="2"/>
      <c r="J13" s="2"/>
    </row>
    <row r="14" customFormat="false" ht="25.5" hidden="false" customHeight="true" outlineLevel="0" collapsed="false">
      <c r="A14" s="2"/>
      <c r="B14" s="25" t="s">
        <v>36</v>
      </c>
      <c r="C14" s="2"/>
      <c r="D14" s="32" t="s">
        <v>209</v>
      </c>
      <c r="E14" s="32" t="s">
        <v>366</v>
      </c>
      <c r="F14" s="32" t="s">
        <v>367</v>
      </c>
      <c r="G14" s="137" t="n">
        <v>150</v>
      </c>
      <c r="H14" s="32" t="s">
        <v>368</v>
      </c>
      <c r="I14" s="2"/>
      <c r="J14" s="2"/>
    </row>
    <row r="15" customFormat="false" ht="25.5" hidden="false" customHeight="true" outlineLevel="0" collapsed="false">
      <c r="A15" s="2"/>
      <c r="B15" s="25" t="s">
        <v>41</v>
      </c>
      <c r="C15" s="2"/>
      <c r="D15" s="12" t="s">
        <v>213</v>
      </c>
      <c r="E15" s="12" t="s">
        <v>369</v>
      </c>
      <c r="F15" s="12" t="s">
        <v>370</v>
      </c>
      <c r="G15" s="136" t="n">
        <v>500</v>
      </c>
      <c r="H15" s="12" t="s">
        <v>371</v>
      </c>
      <c r="I15" s="2"/>
      <c r="J15" s="2"/>
    </row>
    <row r="16" customFormat="false" ht="25.5" hidden="false" customHeight="true" outlineLevel="0" collapsed="false">
      <c r="A16" s="2"/>
      <c r="B16" s="25" t="s">
        <v>42</v>
      </c>
      <c r="C16" s="2"/>
      <c r="D16" s="32" t="s">
        <v>265</v>
      </c>
      <c r="E16" s="32" t="s">
        <v>372</v>
      </c>
      <c r="F16" s="32" t="s">
        <v>373</v>
      </c>
      <c r="G16" s="137" t="n">
        <v>1000</v>
      </c>
      <c r="H16" s="32" t="s">
        <v>374</v>
      </c>
      <c r="I16" s="2"/>
      <c r="J16" s="2"/>
    </row>
    <row r="17" customFormat="false" ht="25.5" hidden="false" customHeight="true" outlineLevel="0" collapsed="false">
      <c r="A17" s="2"/>
      <c r="B17" s="25" t="s">
        <v>44</v>
      </c>
      <c r="C17" s="2"/>
      <c r="D17" s="92"/>
      <c r="E17" s="92"/>
      <c r="F17" s="92"/>
      <c r="G17" s="92"/>
      <c r="H17" s="92"/>
      <c r="I17" s="2"/>
      <c r="J17" s="2"/>
    </row>
    <row r="18" customFormat="false" ht="25.5" hidden="false" customHeight="true" outlineLevel="0" collapsed="false">
      <c r="A18" s="2"/>
      <c r="B18" s="7" t="s">
        <v>48</v>
      </c>
      <c r="C18" s="2"/>
      <c r="D18" s="91"/>
      <c r="E18" s="91"/>
      <c r="F18" s="91"/>
      <c r="G18" s="91"/>
      <c r="H18" s="91"/>
      <c r="I18" s="2"/>
      <c r="J18" s="2"/>
    </row>
    <row r="19" customFormat="false" ht="25.5" hidden="false" customHeight="true" outlineLevel="0" collapsed="false">
      <c r="A19" s="2"/>
      <c r="B19" s="25" t="s">
        <v>51</v>
      </c>
      <c r="C19" s="2"/>
      <c r="D19" s="92"/>
      <c r="E19" s="92"/>
      <c r="F19" s="92"/>
      <c r="G19" s="92"/>
      <c r="H19" s="92"/>
      <c r="I19" s="2"/>
      <c r="J19" s="2"/>
    </row>
    <row r="20" customFormat="false" ht="25.5" hidden="false" customHeight="true" outlineLevel="0" collapsed="false">
      <c r="A20" s="2"/>
      <c r="B20" s="26" t="s">
        <v>54</v>
      </c>
      <c r="C20" s="2"/>
      <c r="D20" s="91"/>
      <c r="E20" s="91"/>
      <c r="F20" s="91"/>
      <c r="G20" s="91"/>
      <c r="H20" s="91"/>
      <c r="I20" s="2"/>
      <c r="J20" s="2"/>
    </row>
    <row r="21" customFormat="false" ht="25.5" hidden="false" customHeight="true" outlineLevel="0" collapsed="false">
      <c r="A21" s="2"/>
      <c r="B21" s="25" t="s">
        <v>57</v>
      </c>
      <c r="C21" s="2"/>
      <c r="D21" s="92"/>
      <c r="E21" s="92"/>
      <c r="F21" s="92"/>
      <c r="G21" s="92"/>
      <c r="H21" s="92"/>
      <c r="I21" s="2"/>
      <c r="J21" s="2"/>
    </row>
    <row r="22" customFormat="false" ht="25.5" hidden="false" customHeight="true" outlineLevel="0" collapsed="false">
      <c r="A22" s="2"/>
      <c r="B22" s="29" t="s">
        <v>61</v>
      </c>
      <c r="C22" s="2"/>
      <c r="D22" s="91"/>
      <c r="E22" s="91"/>
      <c r="F22" s="91"/>
      <c r="G22" s="91"/>
      <c r="H22" s="91"/>
      <c r="I22" s="2"/>
      <c r="J22" s="2"/>
    </row>
    <row r="23" customFormat="false" ht="25.5" hidden="false" customHeight="true" outlineLevel="0" collapsed="false">
      <c r="A23" s="2"/>
      <c r="B23" s="25" t="s">
        <v>65</v>
      </c>
      <c r="C23" s="2"/>
      <c r="D23" s="92"/>
      <c r="E23" s="92"/>
      <c r="F23" s="92"/>
      <c r="G23" s="92"/>
      <c r="H23" s="92"/>
      <c r="I23" s="2"/>
      <c r="J23" s="2"/>
    </row>
    <row r="24" customFormat="false" ht="25.5" hidden="false" customHeight="true" outlineLevel="0" collapsed="false">
      <c r="A24" s="2"/>
      <c r="B24" s="19" t="s">
        <v>66</v>
      </c>
      <c r="C24" s="2"/>
      <c r="D24" s="91"/>
      <c r="E24" s="91"/>
      <c r="F24" s="91"/>
      <c r="G24" s="91"/>
      <c r="H24" s="91"/>
      <c r="I24" s="2"/>
      <c r="J24" s="2"/>
    </row>
    <row r="25" customFormat="false" ht="25.5" hidden="false" customHeight="true" outlineLevel="0" collapsed="false">
      <c r="A25" s="2"/>
      <c r="B25" s="29" t="s">
        <v>67</v>
      </c>
      <c r="C25" s="2"/>
      <c r="D25" s="92"/>
      <c r="E25" s="92"/>
      <c r="F25" s="92"/>
      <c r="G25" s="92"/>
      <c r="H25" s="92"/>
      <c r="I25" s="2"/>
      <c r="J25" s="2"/>
    </row>
    <row r="26" customFormat="false" ht="25.5" hidden="false" customHeight="true" outlineLevel="0" collapsed="false">
      <c r="A26" s="2"/>
      <c r="B26" s="25" t="s">
        <v>68</v>
      </c>
      <c r="C26" s="2"/>
      <c r="D26" s="91"/>
      <c r="E26" s="91"/>
      <c r="F26" s="91"/>
      <c r="G26" s="91"/>
      <c r="H26" s="91"/>
      <c r="I26" s="2"/>
      <c r="J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</sheetData>
  <mergeCells count="7">
    <mergeCell ref="B1:H1"/>
    <mergeCell ref="B2:H2"/>
    <mergeCell ref="B4:B5"/>
    <mergeCell ref="C4:H4"/>
    <mergeCell ref="C6:E6"/>
    <mergeCell ref="C7:E7"/>
    <mergeCell ref="C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B"/>
    <pageSetUpPr fitToPage="false"/>
  </sheetPr>
  <dimension ref="A1:K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9" min="5" style="1" width="22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375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31.5" hidden="false" customHeight="true" outlineLevel="0" collapsed="false">
      <c r="A5" s="2"/>
      <c r="B5" s="6"/>
      <c r="C5" s="100" t="s">
        <v>376</v>
      </c>
      <c r="D5" s="100"/>
      <c r="E5" s="100"/>
      <c r="F5" s="100"/>
      <c r="G5" s="100"/>
      <c r="H5" s="100"/>
      <c r="I5" s="100"/>
      <c r="J5" s="2"/>
      <c r="K5" s="2"/>
    </row>
    <row r="6" customFormat="false" ht="25.5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  <c r="K6" s="2"/>
    </row>
    <row r="7" customFormat="false" ht="42" hidden="false" customHeight="true" outlineLevel="0" collapsed="false">
      <c r="A7" s="2"/>
      <c r="B7" s="25" t="s">
        <v>4</v>
      </c>
      <c r="C7" s="2"/>
      <c r="D7" s="38" t="s">
        <v>377</v>
      </c>
      <c r="E7" s="38" t="s">
        <v>193</v>
      </c>
      <c r="F7" s="38" t="s">
        <v>378</v>
      </c>
      <c r="G7" s="38" t="s">
        <v>379</v>
      </c>
      <c r="H7" s="38" t="s">
        <v>380</v>
      </c>
      <c r="I7" s="38" t="s">
        <v>134</v>
      </c>
      <c r="J7" s="2"/>
      <c r="K7" s="2"/>
    </row>
    <row r="8" customFormat="false" ht="31.5" hidden="false" customHeight="true" outlineLevel="0" collapsed="false">
      <c r="A8" s="2"/>
      <c r="B8" s="25" t="s">
        <v>6</v>
      </c>
      <c r="C8" s="2"/>
      <c r="D8" s="120" t="s">
        <v>381</v>
      </c>
      <c r="E8" s="12" t="s">
        <v>216</v>
      </c>
      <c r="F8" s="138" t="n">
        <v>50000</v>
      </c>
      <c r="G8" s="138" t="n">
        <v>53500</v>
      </c>
      <c r="H8" s="139" t="s">
        <v>382</v>
      </c>
      <c r="I8" s="140" t="s">
        <v>383</v>
      </c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2"/>
      <c r="D9" s="121" t="s">
        <v>384</v>
      </c>
      <c r="E9" s="32" t="s">
        <v>385</v>
      </c>
      <c r="F9" s="141" t="n">
        <v>30000</v>
      </c>
      <c r="G9" s="141" t="n">
        <v>33000</v>
      </c>
      <c r="H9" s="142" t="s">
        <v>386</v>
      </c>
      <c r="I9" s="143" t="s">
        <v>383</v>
      </c>
      <c r="J9" s="2"/>
      <c r="K9" s="2"/>
    </row>
    <row r="10" customFormat="false" ht="25.5" hidden="false" customHeight="true" outlineLevel="0" collapsed="false">
      <c r="A10" s="2"/>
      <c r="B10" s="25" t="s">
        <v>16</v>
      </c>
      <c r="C10" s="2"/>
      <c r="D10" s="120" t="s">
        <v>387</v>
      </c>
      <c r="E10" s="12" t="s">
        <v>388</v>
      </c>
      <c r="F10" s="138" t="n">
        <v>20000</v>
      </c>
      <c r="G10" s="138" t="n">
        <v>22000</v>
      </c>
      <c r="H10" s="139" t="s">
        <v>386</v>
      </c>
      <c r="I10" s="140" t="s">
        <v>383</v>
      </c>
      <c r="J10" s="2"/>
      <c r="K10" s="2"/>
    </row>
    <row r="11" customFormat="false" ht="25.5" hidden="false" customHeight="true" outlineLevel="0" collapsed="false">
      <c r="A11" s="2"/>
      <c r="B11" s="7" t="s">
        <v>21</v>
      </c>
      <c r="C11" s="2"/>
      <c r="D11" s="121" t="s">
        <v>389</v>
      </c>
      <c r="E11" s="32" t="s">
        <v>390</v>
      </c>
      <c r="F11" s="141" t="n">
        <v>10000</v>
      </c>
      <c r="G11" s="141" t="n">
        <v>10800</v>
      </c>
      <c r="H11" s="142" t="s">
        <v>391</v>
      </c>
      <c r="I11" s="143" t="s">
        <v>392</v>
      </c>
      <c r="J11" s="2"/>
      <c r="K11" s="2"/>
    </row>
    <row r="12" customFormat="false" ht="25.5" hidden="false" customHeight="true" outlineLevel="0" collapsed="false">
      <c r="A12" s="2"/>
      <c r="B12" s="25" t="s">
        <v>26</v>
      </c>
      <c r="C12" s="2"/>
      <c r="D12" s="120" t="s">
        <v>393</v>
      </c>
      <c r="E12" s="12" t="s">
        <v>394</v>
      </c>
      <c r="F12" s="138" t="n">
        <v>15000</v>
      </c>
      <c r="G12" s="138" t="n">
        <v>16500</v>
      </c>
      <c r="H12" s="139" t="s">
        <v>386</v>
      </c>
      <c r="I12" s="140" t="s">
        <v>383</v>
      </c>
      <c r="J12" s="2"/>
      <c r="K12" s="2"/>
    </row>
    <row r="13" customFormat="false" ht="25.5" hidden="false" customHeight="true" outlineLevel="0" collapsed="false">
      <c r="A13" s="2"/>
      <c r="B13" s="25" t="s">
        <v>31</v>
      </c>
      <c r="C13" s="2"/>
      <c r="D13" s="121" t="s">
        <v>395</v>
      </c>
      <c r="E13" s="32" t="s">
        <v>396</v>
      </c>
      <c r="F13" s="141" t="n">
        <v>5000</v>
      </c>
      <c r="G13" s="141" t="n">
        <v>5750</v>
      </c>
      <c r="H13" s="142" t="s">
        <v>397</v>
      </c>
      <c r="I13" s="143" t="s">
        <v>383</v>
      </c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31.5" hidden="false" customHeight="true" outlineLevel="0" collapsed="false">
      <c r="A15" s="2"/>
      <c r="B15" s="25" t="s">
        <v>41</v>
      </c>
      <c r="C15" s="2"/>
      <c r="D15" s="144" t="s">
        <v>398</v>
      </c>
      <c r="E15" s="144"/>
      <c r="F15" s="145" t="n">
        <f aca="false">SUM(F9:F14)</f>
        <v>80000</v>
      </c>
      <c r="G15" s="145" t="n">
        <f aca="false">SUM(G9:G14)</f>
        <v>88050</v>
      </c>
      <c r="H15" s="2"/>
      <c r="I15" s="2"/>
      <c r="J15" s="2"/>
      <c r="K15" s="2"/>
    </row>
    <row r="16" customFormat="false" ht="25.5" hidden="false" customHeight="true" outlineLevel="0" collapsed="false">
      <c r="A16" s="2"/>
      <c r="B16" s="25" t="s">
        <v>42</v>
      </c>
      <c r="C16" s="2"/>
      <c r="D16" s="2"/>
      <c r="E16" s="2"/>
      <c r="F16" s="2"/>
      <c r="G16" s="2"/>
      <c r="H16" s="2"/>
      <c r="I16" s="2"/>
      <c r="J16" s="2"/>
      <c r="K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2"/>
      <c r="E18" s="2"/>
      <c r="F18" s="2"/>
      <c r="G18" s="2"/>
      <c r="H18" s="2"/>
      <c r="I18" s="2"/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25.5" hidden="false" customHeight="true" outlineLevel="0" collapsed="false">
      <c r="A21" s="2"/>
      <c r="B21" s="26" t="s">
        <v>57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5">
    <mergeCell ref="B1:I1"/>
    <mergeCell ref="B2:I2"/>
    <mergeCell ref="B4:B5"/>
    <mergeCell ref="C5:I5"/>
    <mergeCell ref="D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443C"/>
    <pageSetUpPr fitToPage="false"/>
  </sheetPr>
  <dimension ref="A1:K7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26"/>
    <col collapsed="false" customWidth="true" hidden="false" outlineLevel="0" max="8" min="5" style="1" width="20"/>
    <col collapsed="false" customWidth="true" hidden="false" outlineLevel="0" max="9" min="9" style="1" width="22"/>
    <col collapsed="false" customWidth="true" hidden="false" outlineLevel="0" max="10" min="10" style="1" width="5"/>
  </cols>
  <sheetData>
    <row r="1" customFormat="false" ht="43.5" hidden="false" customHeight="true" outlineLevel="0" collapsed="false">
      <c r="A1" s="2"/>
      <c r="B1" s="3" t="s">
        <v>399</v>
      </c>
      <c r="C1" s="3"/>
      <c r="D1" s="3"/>
      <c r="E1" s="3"/>
      <c r="F1" s="3"/>
      <c r="G1" s="3"/>
      <c r="H1" s="3"/>
      <c r="I1" s="3"/>
      <c r="J1" s="2"/>
      <c r="K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2"/>
      <c r="K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2"/>
      <c r="B4" s="6" t="s">
        <v>2</v>
      </c>
      <c r="C4" s="146" t="s">
        <v>400</v>
      </c>
      <c r="D4" s="146"/>
      <c r="E4" s="146"/>
      <c r="F4" s="146"/>
      <c r="G4" s="146"/>
      <c r="H4" s="146"/>
      <c r="I4" s="146"/>
      <c r="J4" s="2"/>
      <c r="K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  <c r="J5" s="2"/>
      <c r="K5" s="2"/>
    </row>
    <row r="6" customFormat="false" ht="31.5" hidden="false" customHeight="true" outlineLevel="0" collapsed="false">
      <c r="A6" s="2"/>
      <c r="B6" s="7" t="s">
        <v>3</v>
      </c>
      <c r="C6" s="21" t="s">
        <v>401</v>
      </c>
      <c r="D6" s="21"/>
      <c r="E6" s="21"/>
      <c r="F6" s="21"/>
      <c r="G6" s="21"/>
      <c r="H6" s="21"/>
      <c r="I6" s="21"/>
      <c r="J6" s="2"/>
      <c r="K6" s="2"/>
    </row>
    <row r="7" customFormat="false" ht="42" hidden="false" customHeight="true" outlineLevel="0" collapsed="false">
      <c r="A7" s="2"/>
      <c r="B7" s="25" t="s">
        <v>4</v>
      </c>
      <c r="C7" s="105"/>
      <c r="D7" s="105" t="s">
        <v>402</v>
      </c>
      <c r="E7" s="105" t="s">
        <v>403</v>
      </c>
      <c r="F7" s="105" t="s">
        <v>404</v>
      </c>
      <c r="G7" s="105" t="s">
        <v>162</v>
      </c>
      <c r="H7" s="105" t="s">
        <v>163</v>
      </c>
      <c r="I7" s="2"/>
      <c r="J7" s="2"/>
      <c r="K7" s="2"/>
    </row>
    <row r="8" customFormat="false" ht="25.5" hidden="false" customHeight="true" outlineLevel="0" collapsed="false">
      <c r="A8" s="2"/>
      <c r="B8" s="25" t="s">
        <v>6</v>
      </c>
      <c r="C8" s="39" t="s">
        <v>165</v>
      </c>
      <c r="D8" s="120" t="s">
        <v>405</v>
      </c>
      <c r="E8" s="75" t="n">
        <v>3000</v>
      </c>
      <c r="F8" s="147" t="n">
        <v>1800</v>
      </c>
      <c r="G8" s="76" t="n">
        <f aca="false">E8-F8</f>
        <v>1200</v>
      </c>
      <c r="H8" s="77" t="n">
        <f aca="false">IF(E8&gt;0,F8/E8,0)</f>
        <v>0.6</v>
      </c>
      <c r="I8" s="2"/>
      <c r="J8" s="2"/>
      <c r="K8" s="2"/>
    </row>
    <row r="9" customFormat="false" ht="25.5" hidden="false" customHeight="true" outlineLevel="0" collapsed="false">
      <c r="A9" s="2"/>
      <c r="B9" s="25" t="s">
        <v>11</v>
      </c>
      <c r="C9" s="45" t="s">
        <v>406</v>
      </c>
      <c r="D9" s="121" t="s">
        <v>407</v>
      </c>
      <c r="E9" s="75" t="n">
        <v>2000</v>
      </c>
      <c r="F9" s="54" t="n">
        <v>1200</v>
      </c>
      <c r="G9" s="79" t="n">
        <f aca="false">E9-F9</f>
        <v>800</v>
      </c>
      <c r="H9" s="80" t="n">
        <f aca="false">IF(E9&gt;0,F9/E9,0)</f>
        <v>0.6</v>
      </c>
      <c r="I9" s="2"/>
      <c r="J9" s="2"/>
      <c r="K9" s="2"/>
    </row>
    <row r="10" customFormat="false" ht="25.5" hidden="false" customHeight="true" outlineLevel="0" collapsed="false">
      <c r="A10" s="2"/>
      <c r="B10" s="25" t="s">
        <v>16</v>
      </c>
      <c r="C10" s="39" t="s">
        <v>185</v>
      </c>
      <c r="D10" s="120" t="s">
        <v>408</v>
      </c>
      <c r="E10" s="75" t="n">
        <v>800</v>
      </c>
      <c r="F10" s="147" t="n">
        <v>480</v>
      </c>
      <c r="G10" s="76" t="n">
        <f aca="false">E10-F10</f>
        <v>320</v>
      </c>
      <c r="H10" s="77" t="n">
        <f aca="false">IF(E10&gt;0,F10/E10,0)</f>
        <v>0.6</v>
      </c>
      <c r="I10" s="2"/>
      <c r="J10" s="2"/>
      <c r="K10" s="2"/>
    </row>
    <row r="11" customFormat="false" ht="25.5" hidden="false" customHeight="true" outlineLevel="0" collapsed="false">
      <c r="A11" s="2"/>
      <c r="B11" s="7" t="s">
        <v>21</v>
      </c>
      <c r="C11" s="45" t="s">
        <v>409</v>
      </c>
      <c r="D11" s="121" t="s">
        <v>410</v>
      </c>
      <c r="E11" s="75" t="n">
        <v>600</v>
      </c>
      <c r="F11" s="54" t="n">
        <v>360</v>
      </c>
      <c r="G11" s="79" t="n">
        <f aca="false">E11-F11</f>
        <v>240</v>
      </c>
      <c r="H11" s="80" t="n">
        <f aca="false">IF(E11&gt;0,F11/E11,0)</f>
        <v>0.6</v>
      </c>
      <c r="I11" s="2"/>
      <c r="J11" s="2"/>
      <c r="K11" s="2"/>
    </row>
    <row r="12" customFormat="false" ht="25.5" hidden="false" customHeight="true" outlineLevel="0" collapsed="false">
      <c r="A12" s="2"/>
      <c r="B12" s="25" t="s">
        <v>26</v>
      </c>
      <c r="C12" s="39" t="s">
        <v>142</v>
      </c>
      <c r="D12" s="120" t="s">
        <v>411</v>
      </c>
      <c r="E12" s="75" t="n">
        <v>500</v>
      </c>
      <c r="F12" s="147" t="n">
        <v>300</v>
      </c>
      <c r="G12" s="76" t="n">
        <f aca="false">E12-F12</f>
        <v>200</v>
      </c>
      <c r="H12" s="77" t="n">
        <f aca="false">IF(E12&gt;0,F12/E12,0)</f>
        <v>0.6</v>
      </c>
      <c r="I12" s="2"/>
      <c r="J12" s="2"/>
      <c r="K12" s="2"/>
    </row>
    <row r="13" customFormat="false" ht="25.5" hidden="false" customHeight="true" outlineLevel="0" collapsed="false">
      <c r="A13" s="2"/>
      <c r="B13" s="25" t="s">
        <v>31</v>
      </c>
      <c r="C13" s="45" t="s">
        <v>412</v>
      </c>
      <c r="D13" s="121" t="s">
        <v>413</v>
      </c>
      <c r="E13" s="75" t="n">
        <v>300</v>
      </c>
      <c r="F13" s="54" t="n">
        <v>180</v>
      </c>
      <c r="G13" s="79" t="n">
        <f aca="false">E13-F13</f>
        <v>120</v>
      </c>
      <c r="H13" s="80" t="n">
        <f aca="false">IF(E13&gt;0,F13/E13,0)</f>
        <v>0.6</v>
      </c>
      <c r="I13" s="2"/>
      <c r="J13" s="2"/>
      <c r="K13" s="2"/>
    </row>
    <row r="14" customFormat="false" ht="25.5" hidden="false" customHeight="true" outlineLevel="0" collapsed="false">
      <c r="A14" s="2"/>
      <c r="B14" s="25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31.5" hidden="false" customHeight="true" outlineLevel="0" collapsed="false">
      <c r="A16" s="2"/>
      <c r="B16" s="25" t="s">
        <v>42</v>
      </c>
      <c r="C16" s="21" t="s">
        <v>414</v>
      </c>
      <c r="D16" s="21"/>
      <c r="E16" s="21"/>
      <c r="F16" s="21"/>
      <c r="G16" s="21"/>
      <c r="H16" s="21"/>
      <c r="I16" s="21"/>
      <c r="J16" s="2"/>
      <c r="K16" s="2"/>
    </row>
    <row r="17" customFormat="false" ht="42" hidden="false" customHeight="true" outlineLevel="0" collapsed="false">
      <c r="A17" s="2"/>
      <c r="B17" s="25" t="s">
        <v>44</v>
      </c>
      <c r="C17" s="2"/>
      <c r="D17" s="105" t="s">
        <v>415</v>
      </c>
      <c r="E17" s="105" t="s">
        <v>416</v>
      </c>
      <c r="F17" s="105" t="s">
        <v>417</v>
      </c>
      <c r="G17" s="105" t="s">
        <v>418</v>
      </c>
      <c r="H17" s="105" t="s">
        <v>419</v>
      </c>
      <c r="I17" s="105" t="s">
        <v>420</v>
      </c>
      <c r="J17" s="2"/>
      <c r="K17" s="2"/>
    </row>
    <row r="18" customFormat="false" ht="25.5" hidden="false" customHeight="true" outlineLevel="0" collapsed="false">
      <c r="A18" s="2"/>
      <c r="B18" s="7" t="s">
        <v>48</v>
      </c>
      <c r="C18" s="2"/>
      <c r="D18" s="148" t="s">
        <v>421</v>
      </c>
      <c r="E18" s="45" t="s">
        <v>45</v>
      </c>
      <c r="F18" s="45" t="s">
        <v>45</v>
      </c>
      <c r="G18" s="149" t="n">
        <v>20</v>
      </c>
      <c r="H18" s="150" t="n">
        <v>280</v>
      </c>
      <c r="I18" s="151" t="s">
        <v>422</v>
      </c>
      <c r="J18" s="2"/>
      <c r="K18" s="2"/>
    </row>
    <row r="19" customFormat="false" ht="25.5" hidden="false" customHeight="true" outlineLevel="0" collapsed="false">
      <c r="A19" s="2"/>
      <c r="B19" s="25" t="s">
        <v>51</v>
      </c>
      <c r="C19" s="2"/>
      <c r="D19" s="148" t="s">
        <v>423</v>
      </c>
      <c r="E19" s="39" t="s">
        <v>45</v>
      </c>
      <c r="F19" s="39" t="s">
        <v>45</v>
      </c>
      <c r="G19" s="152" t="n">
        <v>20</v>
      </c>
      <c r="H19" s="153" t="n">
        <v>280</v>
      </c>
      <c r="I19" s="154" t="s">
        <v>424</v>
      </c>
      <c r="J19" s="2"/>
      <c r="K19" s="2"/>
    </row>
    <row r="20" customFormat="false" ht="25.5" hidden="false" customHeight="true" outlineLevel="0" collapsed="false">
      <c r="A20" s="2"/>
      <c r="B20" s="25" t="s">
        <v>54</v>
      </c>
      <c r="C20" s="2"/>
      <c r="D20" s="148" t="s">
        <v>425</v>
      </c>
      <c r="E20" s="45" t="s">
        <v>45</v>
      </c>
      <c r="F20" s="45" t="s">
        <v>45</v>
      </c>
      <c r="G20" s="149" t="n">
        <v>20</v>
      </c>
      <c r="H20" s="150" t="n">
        <v>280</v>
      </c>
      <c r="I20" s="151" t="s">
        <v>426</v>
      </c>
      <c r="J20" s="2"/>
      <c r="K20" s="2"/>
    </row>
    <row r="21" customFormat="false" ht="25.5" hidden="false" customHeight="true" outlineLevel="0" collapsed="false">
      <c r="A21" s="2"/>
      <c r="B21" s="25" t="s">
        <v>57</v>
      </c>
      <c r="C21" s="2"/>
      <c r="D21" s="148" t="s">
        <v>427</v>
      </c>
      <c r="E21" s="39" t="s">
        <v>45</v>
      </c>
      <c r="F21" s="39" t="s">
        <v>45</v>
      </c>
      <c r="G21" s="152" t="n">
        <v>20</v>
      </c>
      <c r="H21" s="153" t="n">
        <v>280</v>
      </c>
      <c r="I21" s="154" t="s">
        <v>428</v>
      </c>
      <c r="J21" s="2"/>
      <c r="K21" s="2"/>
    </row>
    <row r="22" customFormat="false" ht="25.5" hidden="false" customHeight="true" outlineLevel="0" collapsed="false">
      <c r="A22" s="2"/>
      <c r="B22" s="29" t="s">
        <v>61</v>
      </c>
      <c r="C22" s="2"/>
      <c r="D22" s="148" t="s">
        <v>429</v>
      </c>
      <c r="E22" s="45" t="s">
        <v>45</v>
      </c>
      <c r="F22" s="45" t="s">
        <v>45</v>
      </c>
      <c r="G22" s="149" t="n">
        <v>20</v>
      </c>
      <c r="H22" s="150" t="n">
        <v>280</v>
      </c>
      <c r="I22" s="151" t="s">
        <v>430</v>
      </c>
      <c r="J22" s="2"/>
      <c r="K22" s="2"/>
    </row>
    <row r="23" customFormat="false" ht="25.5" hidden="false" customHeight="true" outlineLevel="0" collapsed="false">
      <c r="A23" s="2"/>
      <c r="B23" s="25" t="s">
        <v>65</v>
      </c>
      <c r="C23" s="2"/>
      <c r="D23" s="148" t="s">
        <v>431</v>
      </c>
      <c r="E23" s="39" t="s">
        <v>45</v>
      </c>
      <c r="F23" s="39" t="s">
        <v>45</v>
      </c>
      <c r="G23" s="152" t="n">
        <v>20</v>
      </c>
      <c r="H23" s="153" t="n">
        <v>280</v>
      </c>
      <c r="I23" s="154" t="s">
        <v>422</v>
      </c>
      <c r="J23" s="2"/>
      <c r="K23" s="2"/>
    </row>
    <row r="24" customFormat="false" ht="25.5" hidden="false" customHeight="true" outlineLevel="0" collapsed="false">
      <c r="A24" s="2"/>
      <c r="B24" s="19" t="s">
        <v>66</v>
      </c>
      <c r="C24" s="2"/>
      <c r="D24" s="148" t="s">
        <v>432</v>
      </c>
      <c r="E24" s="45" t="s">
        <v>45</v>
      </c>
      <c r="F24" s="45" t="s">
        <v>45</v>
      </c>
      <c r="G24" s="149" t="n">
        <v>20</v>
      </c>
      <c r="H24" s="150" t="n">
        <v>280</v>
      </c>
      <c r="I24" s="151" t="s">
        <v>424</v>
      </c>
      <c r="J24" s="2"/>
      <c r="K24" s="2"/>
    </row>
    <row r="25" customFormat="false" ht="25.5" hidden="false" customHeight="true" outlineLevel="0" collapsed="false">
      <c r="A25" s="2"/>
      <c r="B25" s="155" t="s">
        <v>67</v>
      </c>
      <c r="C25" s="2"/>
      <c r="D25" s="148" t="s">
        <v>433</v>
      </c>
      <c r="E25" s="39" t="s">
        <v>45</v>
      </c>
      <c r="F25" s="39" t="s">
        <v>45</v>
      </c>
      <c r="G25" s="152" t="n">
        <v>20</v>
      </c>
      <c r="H25" s="153" t="n">
        <v>280</v>
      </c>
      <c r="I25" s="154" t="s">
        <v>426</v>
      </c>
      <c r="J25" s="2"/>
      <c r="K25" s="2"/>
    </row>
    <row r="26" customFormat="false" ht="25.5" hidden="false" customHeight="true" outlineLevel="0" collapsed="false">
      <c r="A26" s="2"/>
      <c r="B26" s="25" t="s">
        <v>68</v>
      </c>
      <c r="C26" s="2"/>
      <c r="D26" s="148" t="s">
        <v>434</v>
      </c>
      <c r="E26" s="45" t="s">
        <v>45</v>
      </c>
      <c r="F26" s="45" t="s">
        <v>45</v>
      </c>
      <c r="G26" s="149" t="n">
        <v>20</v>
      </c>
      <c r="H26" s="150" t="n">
        <v>280</v>
      </c>
      <c r="I26" s="151" t="s">
        <v>428</v>
      </c>
      <c r="J26" s="2"/>
      <c r="K26" s="2"/>
    </row>
    <row r="27" customFormat="false" ht="25.5" hidden="false" customHeight="true" outlineLevel="0" collapsed="false">
      <c r="A27" s="2"/>
      <c r="B27" s="19" t="s">
        <v>69</v>
      </c>
      <c r="C27" s="2"/>
      <c r="D27" s="148" t="s">
        <v>435</v>
      </c>
      <c r="E27" s="39" t="s">
        <v>45</v>
      </c>
      <c r="F27" s="39" t="s">
        <v>45</v>
      </c>
      <c r="G27" s="152" t="n">
        <v>20</v>
      </c>
      <c r="H27" s="153" t="n">
        <v>280</v>
      </c>
      <c r="I27" s="154" t="s">
        <v>430</v>
      </c>
      <c r="J27" s="2"/>
      <c r="K27" s="2"/>
    </row>
    <row r="28" customFormat="false" ht="25.5" hidden="false" customHeight="true" outlineLevel="0" collapsed="false">
      <c r="A28" s="2"/>
      <c r="B28" s="30" t="s">
        <v>70</v>
      </c>
      <c r="C28" s="2"/>
      <c r="D28" s="156" t="s">
        <v>436</v>
      </c>
      <c r="E28" s="45" t="s">
        <v>437</v>
      </c>
      <c r="F28" s="45" t="s">
        <v>437</v>
      </c>
      <c r="G28" s="149" t="n">
        <v>0</v>
      </c>
      <c r="H28" s="150" t="n">
        <v>0</v>
      </c>
      <c r="I28" s="151"/>
      <c r="J28" s="2"/>
      <c r="K28" s="2"/>
    </row>
    <row r="29" customFormat="false" ht="25.5" hidden="false" customHeight="true" outlineLevel="0" collapsed="false">
      <c r="A29" s="2"/>
      <c r="B29" s="30" t="s">
        <v>71</v>
      </c>
      <c r="C29" s="2"/>
      <c r="D29" s="157" t="s">
        <v>438</v>
      </c>
      <c r="E29" s="39" t="s">
        <v>437</v>
      </c>
      <c r="F29" s="39" t="s">
        <v>437</v>
      </c>
      <c r="G29" s="152" t="n">
        <v>0</v>
      </c>
      <c r="H29" s="153" t="n">
        <v>0</v>
      </c>
      <c r="I29" s="154"/>
      <c r="J29" s="2"/>
      <c r="K29" s="2"/>
    </row>
    <row r="30" customFormat="false" ht="25.5" hidden="false" customHeight="true" outlineLevel="0" collapsed="false">
      <c r="A30" s="2"/>
      <c r="B30" s="2"/>
      <c r="C30" s="2"/>
      <c r="D30" s="156" t="s">
        <v>439</v>
      </c>
      <c r="E30" s="45" t="s">
        <v>437</v>
      </c>
      <c r="F30" s="45" t="s">
        <v>437</v>
      </c>
      <c r="G30" s="149" t="n">
        <v>0</v>
      </c>
      <c r="H30" s="150" t="n">
        <v>0</v>
      </c>
      <c r="I30" s="151"/>
      <c r="J30" s="2"/>
      <c r="K30" s="2"/>
    </row>
    <row r="31" customFormat="false" ht="25.5" hidden="false" customHeight="true" outlineLevel="0" collapsed="false">
      <c r="A31" s="2"/>
      <c r="B31" s="2"/>
      <c r="C31" s="2"/>
      <c r="D31" s="157" t="s">
        <v>440</v>
      </c>
      <c r="E31" s="39" t="s">
        <v>437</v>
      </c>
      <c r="F31" s="39" t="s">
        <v>437</v>
      </c>
      <c r="G31" s="152" t="n">
        <v>0</v>
      </c>
      <c r="H31" s="153" t="n">
        <v>0</v>
      </c>
      <c r="I31" s="154"/>
      <c r="J31" s="2"/>
      <c r="K31" s="2"/>
    </row>
    <row r="32" customFormat="false" ht="25.5" hidden="false" customHeight="true" outlineLevel="0" collapsed="false">
      <c r="A32" s="2"/>
      <c r="B32" s="2"/>
      <c r="C32" s="2"/>
      <c r="D32" s="156" t="s">
        <v>441</v>
      </c>
      <c r="E32" s="45" t="s">
        <v>437</v>
      </c>
      <c r="F32" s="45" t="s">
        <v>437</v>
      </c>
      <c r="G32" s="149" t="n">
        <v>0</v>
      </c>
      <c r="H32" s="150" t="n">
        <v>0</v>
      </c>
      <c r="I32" s="151"/>
      <c r="J32" s="2"/>
      <c r="K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24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24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24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24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24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24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24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24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24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24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24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24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24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24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24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24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24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24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</sheetData>
  <mergeCells count="6">
    <mergeCell ref="B1:I1"/>
    <mergeCell ref="B2:I2"/>
    <mergeCell ref="B4:B5"/>
    <mergeCell ref="C4:I4"/>
    <mergeCell ref="C6:I6"/>
    <mergeCell ref="C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B"/>
    <pageSetUpPr fitToPage="false"/>
  </sheetPr>
  <dimension ref="A1:I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7" min="5" style="1" width="20"/>
    <col collapsed="false" customWidth="true" hidden="false" outlineLevel="0" max="8" min="8" style="1" width="5"/>
  </cols>
  <sheetData>
    <row r="1" customFormat="false" ht="43.5" hidden="false" customHeight="true" outlineLevel="0" collapsed="false">
      <c r="A1" s="2"/>
      <c r="B1" s="3" t="s">
        <v>442</v>
      </c>
      <c r="C1" s="3"/>
      <c r="D1" s="3"/>
      <c r="E1" s="3"/>
      <c r="F1" s="3"/>
      <c r="G1" s="3"/>
      <c r="H1" s="2"/>
      <c r="I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2"/>
      <c r="I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</row>
    <row r="5" customFormat="false" ht="31.5" hidden="false" customHeight="true" outlineLevel="0" collapsed="false">
      <c r="A5" s="2"/>
      <c r="B5" s="6"/>
      <c r="C5" s="158" t="s">
        <v>443</v>
      </c>
      <c r="D5" s="158"/>
      <c r="E5" s="158"/>
      <c r="F5" s="158"/>
      <c r="G5" s="158"/>
      <c r="H5" s="2"/>
      <c r="I5" s="2"/>
    </row>
    <row r="6" customFormat="false" ht="25.5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</row>
    <row r="7" customFormat="false" ht="42" hidden="false" customHeight="true" outlineLevel="0" collapsed="false">
      <c r="A7" s="2"/>
      <c r="B7" s="25" t="s">
        <v>4</v>
      </c>
      <c r="C7" s="2"/>
      <c r="D7" s="38" t="s">
        <v>402</v>
      </c>
      <c r="E7" s="38" t="s">
        <v>403</v>
      </c>
      <c r="F7" s="38" t="s">
        <v>404</v>
      </c>
      <c r="G7" s="38" t="s">
        <v>162</v>
      </c>
      <c r="H7" s="2"/>
      <c r="I7" s="2"/>
    </row>
    <row r="8" customFormat="false" ht="25.5" hidden="false" customHeight="true" outlineLevel="0" collapsed="false">
      <c r="A8" s="2"/>
      <c r="B8" s="25" t="s">
        <v>6</v>
      </c>
      <c r="C8" s="2"/>
      <c r="D8" s="120" t="s">
        <v>444</v>
      </c>
      <c r="E8" s="75" t="n">
        <v>1200</v>
      </c>
      <c r="F8" s="147" t="n">
        <v>1100</v>
      </c>
      <c r="G8" s="76" t="n">
        <f aca="false">E8-F8</f>
        <v>100</v>
      </c>
      <c r="H8" s="2"/>
      <c r="I8" s="2"/>
    </row>
    <row r="9" customFormat="false" ht="25.5" hidden="false" customHeight="true" outlineLevel="0" collapsed="false">
      <c r="A9" s="2"/>
      <c r="B9" s="25" t="s">
        <v>11</v>
      </c>
      <c r="C9" s="2"/>
      <c r="D9" s="121" t="s">
        <v>445</v>
      </c>
      <c r="E9" s="75" t="n">
        <v>500</v>
      </c>
      <c r="F9" s="54" t="n">
        <v>450</v>
      </c>
      <c r="G9" s="79" t="n">
        <f aca="false">E9-F9</f>
        <v>50</v>
      </c>
      <c r="H9" s="2"/>
      <c r="I9" s="2"/>
    </row>
    <row r="10" customFormat="false" ht="25.5" hidden="false" customHeight="true" outlineLevel="0" collapsed="false">
      <c r="A10" s="2"/>
      <c r="B10" s="25" t="s">
        <v>16</v>
      </c>
      <c r="C10" s="2"/>
      <c r="D10" s="120" t="s">
        <v>446</v>
      </c>
      <c r="E10" s="75" t="n">
        <v>300</v>
      </c>
      <c r="F10" s="147" t="n">
        <v>280</v>
      </c>
      <c r="G10" s="76" t="n">
        <f aca="false">E10-F10</f>
        <v>20</v>
      </c>
      <c r="H10" s="2"/>
      <c r="I10" s="2"/>
    </row>
    <row r="11" customFormat="false" ht="25.5" hidden="false" customHeight="true" outlineLevel="0" collapsed="false">
      <c r="A11" s="2"/>
      <c r="B11" s="7" t="s">
        <v>21</v>
      </c>
      <c r="C11" s="2"/>
      <c r="D11" s="121" t="s">
        <v>447</v>
      </c>
      <c r="E11" s="75" t="n">
        <v>800</v>
      </c>
      <c r="F11" s="54" t="n">
        <v>750</v>
      </c>
      <c r="G11" s="79" t="n">
        <f aca="false">E11-F11</f>
        <v>50</v>
      </c>
      <c r="H11" s="2"/>
      <c r="I11" s="2"/>
    </row>
    <row r="12" customFormat="false" ht="25.5" hidden="false" customHeight="true" outlineLevel="0" collapsed="false">
      <c r="A12" s="2"/>
      <c r="B12" s="25" t="s">
        <v>26</v>
      </c>
      <c r="C12" s="2"/>
      <c r="D12" s="120" t="s">
        <v>448</v>
      </c>
      <c r="E12" s="75" t="n">
        <v>600</v>
      </c>
      <c r="F12" s="147" t="n">
        <v>600</v>
      </c>
      <c r="G12" s="76" t="n">
        <f aca="false">E12-F12</f>
        <v>0</v>
      </c>
      <c r="H12" s="2"/>
      <c r="I12" s="2"/>
    </row>
    <row r="13" customFormat="false" ht="25.5" hidden="false" customHeight="true" outlineLevel="0" collapsed="false">
      <c r="A13" s="2"/>
      <c r="B13" s="25" t="s">
        <v>31</v>
      </c>
      <c r="C13" s="2"/>
      <c r="D13" s="121" t="s">
        <v>449</v>
      </c>
      <c r="E13" s="75" t="n">
        <v>0</v>
      </c>
      <c r="F13" s="54" t="n">
        <v>0</v>
      </c>
      <c r="G13" s="79" t="n">
        <f aca="false">E13-F13</f>
        <v>0</v>
      </c>
      <c r="H13" s="2"/>
      <c r="I13" s="2"/>
    </row>
    <row r="14" customFormat="false" ht="25.5" hidden="false" customHeight="true" outlineLevel="0" collapsed="false">
      <c r="A14" s="2"/>
      <c r="B14" s="25" t="s">
        <v>36</v>
      </c>
      <c r="C14" s="2"/>
      <c r="D14" s="120" t="s">
        <v>450</v>
      </c>
      <c r="E14" s="75" t="n">
        <v>250</v>
      </c>
      <c r="F14" s="147" t="n">
        <v>250</v>
      </c>
      <c r="G14" s="76" t="n">
        <f aca="false">E14-F14</f>
        <v>0</v>
      </c>
      <c r="H14" s="2"/>
      <c r="I14" s="2"/>
    </row>
    <row r="15" customFormat="false" ht="25.5" hidden="false" customHeight="true" outlineLevel="0" collapsed="false">
      <c r="A15" s="2"/>
      <c r="B15" s="25" t="s">
        <v>41</v>
      </c>
      <c r="C15" s="2"/>
      <c r="D15" s="121" t="s">
        <v>451</v>
      </c>
      <c r="E15" s="75" t="n">
        <v>200</v>
      </c>
      <c r="F15" s="54" t="n">
        <v>150</v>
      </c>
      <c r="G15" s="79" t="n">
        <f aca="false">E15-F15</f>
        <v>50</v>
      </c>
      <c r="H15" s="2"/>
      <c r="I15" s="2"/>
    </row>
    <row r="16" customFormat="false" ht="25.5" hidden="false" customHeight="true" outlineLevel="0" collapsed="false">
      <c r="A16" s="2"/>
      <c r="B16" s="25" t="s">
        <v>42</v>
      </c>
      <c r="C16" s="2"/>
      <c r="D16" s="159" t="s">
        <v>189</v>
      </c>
      <c r="E16" s="145" t="n">
        <f aca="false">SUM(E8:E15)</f>
        <v>3850</v>
      </c>
      <c r="F16" s="145" t="n">
        <f aca="false">SUM(F8:F15)</f>
        <v>3580</v>
      </c>
      <c r="G16" s="145" t="n">
        <f aca="false">SUM(G8:G15)</f>
        <v>270</v>
      </c>
      <c r="H16" s="2"/>
      <c r="I16" s="2"/>
    </row>
    <row r="17" customFormat="false" ht="25.5" hidden="false" customHeight="true" outlineLevel="0" collapsed="false">
      <c r="A17" s="2"/>
      <c r="B17" s="25" t="s">
        <v>44</v>
      </c>
      <c r="C17" s="2"/>
      <c r="D17" s="2"/>
      <c r="E17" s="2"/>
      <c r="F17" s="2"/>
      <c r="G17" s="2"/>
      <c r="H17" s="2"/>
      <c r="I17" s="2"/>
    </row>
    <row r="18" customFormat="false" ht="25.5" hidden="false" customHeight="true" outlineLevel="0" collapsed="false">
      <c r="A18" s="2"/>
      <c r="B18" s="7" t="s">
        <v>48</v>
      </c>
      <c r="C18" s="2"/>
      <c r="D18" s="2"/>
      <c r="E18" s="2"/>
      <c r="F18" s="2"/>
      <c r="G18" s="2"/>
      <c r="H18" s="2"/>
      <c r="I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</row>
    <row r="26" customFormat="false" ht="25.5" hidden="false" customHeight="true" outlineLevel="0" collapsed="false">
      <c r="A26" s="2"/>
      <c r="B26" s="26" t="s">
        <v>68</v>
      </c>
      <c r="C26" s="2"/>
      <c r="D26" s="2"/>
      <c r="E26" s="2"/>
      <c r="F26" s="2"/>
      <c r="G26" s="2"/>
      <c r="H26" s="2"/>
      <c r="I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</sheetData>
  <mergeCells count="4">
    <mergeCell ref="B1:G1"/>
    <mergeCell ref="B2:G2"/>
    <mergeCell ref="B4:B5"/>
    <mergeCell ref="C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B"/>
    <pageSetUpPr fitToPage="false"/>
  </sheetPr>
  <dimension ref="A1:I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7" min="6" style="1" width="22"/>
    <col collapsed="false" customWidth="true" hidden="false" outlineLevel="0" max="8" min="8" style="1" width="5"/>
  </cols>
  <sheetData>
    <row r="1" customFormat="false" ht="43.5" hidden="false" customHeight="true" outlineLevel="0" collapsed="false">
      <c r="A1" s="2"/>
      <c r="B1" s="3" t="s">
        <v>452</v>
      </c>
      <c r="C1" s="3"/>
      <c r="D1" s="3"/>
      <c r="E1" s="3"/>
      <c r="F1" s="3"/>
      <c r="G1" s="3"/>
      <c r="H1" s="2"/>
      <c r="I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2"/>
      <c r="I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</row>
    <row r="5" customFormat="false" ht="31.5" hidden="false" customHeight="true" outlineLevel="0" collapsed="false">
      <c r="A5" s="2"/>
      <c r="B5" s="6"/>
      <c r="C5" s="135" t="s">
        <v>453</v>
      </c>
      <c r="D5" s="135"/>
      <c r="E5" s="135"/>
      <c r="F5" s="135"/>
      <c r="G5" s="135"/>
      <c r="H5" s="2"/>
      <c r="I5" s="2"/>
    </row>
    <row r="6" customFormat="false" ht="25.5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</row>
    <row r="7" customFormat="false" ht="31.5" hidden="false" customHeight="true" outlineLevel="0" collapsed="false">
      <c r="A7" s="2"/>
      <c r="B7" s="25" t="s">
        <v>4</v>
      </c>
      <c r="C7" s="21" t="s">
        <v>454</v>
      </c>
      <c r="D7" s="21"/>
      <c r="E7" s="21"/>
      <c r="F7" s="21"/>
      <c r="G7" s="21"/>
      <c r="H7" s="2"/>
      <c r="I7" s="2"/>
    </row>
    <row r="8" customFormat="false" ht="25.5" hidden="false" customHeight="true" outlineLevel="0" collapsed="false">
      <c r="A8" s="2"/>
      <c r="B8" s="25" t="s">
        <v>6</v>
      </c>
      <c r="C8" s="2"/>
      <c r="D8" s="22" t="s">
        <v>455</v>
      </c>
      <c r="E8" s="22"/>
      <c r="F8" s="160" t="n">
        <v>20000</v>
      </c>
      <c r="G8" s="161" t="s">
        <v>456</v>
      </c>
      <c r="H8" s="2"/>
      <c r="I8" s="2"/>
    </row>
    <row r="9" customFormat="false" ht="25.5" hidden="false" customHeight="true" outlineLevel="0" collapsed="false">
      <c r="A9" s="2"/>
      <c r="B9" s="25" t="s">
        <v>11</v>
      </c>
      <c r="C9" s="2"/>
      <c r="D9" s="22" t="s">
        <v>457</v>
      </c>
      <c r="E9" s="22"/>
      <c r="F9" s="160" t="n">
        <v>30000</v>
      </c>
      <c r="G9" s="161" t="s">
        <v>458</v>
      </c>
      <c r="H9" s="2"/>
      <c r="I9" s="2"/>
    </row>
    <row r="10" customFormat="false" ht="25.5" hidden="false" customHeight="true" outlineLevel="0" collapsed="false">
      <c r="A10" s="2"/>
      <c r="B10" s="25" t="s">
        <v>16</v>
      </c>
      <c r="C10" s="2"/>
      <c r="D10" s="22" t="s">
        <v>459</v>
      </c>
      <c r="E10" s="22"/>
      <c r="F10" s="160" t="n">
        <v>15000</v>
      </c>
      <c r="G10" s="161" t="s">
        <v>456</v>
      </c>
      <c r="H10" s="2"/>
      <c r="I10" s="2"/>
    </row>
    <row r="11" customFormat="false" ht="25.5" hidden="false" customHeight="true" outlineLevel="0" collapsed="false">
      <c r="A11" s="2"/>
      <c r="B11" s="7" t="s">
        <v>21</v>
      </c>
      <c r="C11" s="2"/>
      <c r="D11" s="2"/>
      <c r="E11" s="2"/>
      <c r="F11" s="2"/>
      <c r="G11" s="2"/>
      <c r="H11" s="2"/>
      <c r="I11" s="2"/>
    </row>
    <row r="12" customFormat="false" ht="25.5" hidden="false" customHeight="true" outlineLevel="0" collapsed="false">
      <c r="A12" s="2"/>
      <c r="B12" s="25" t="s">
        <v>26</v>
      </c>
      <c r="C12" s="2"/>
      <c r="D12" s="2"/>
      <c r="E12" s="2"/>
      <c r="F12" s="2"/>
      <c r="G12" s="2"/>
      <c r="H12" s="2"/>
      <c r="I12" s="2"/>
    </row>
    <row r="13" customFormat="false" ht="31.5" hidden="false" customHeight="true" outlineLevel="0" collapsed="false">
      <c r="A13" s="2"/>
      <c r="B13" s="25" t="s">
        <v>31</v>
      </c>
      <c r="C13" s="21" t="s">
        <v>460</v>
      </c>
      <c r="D13" s="21"/>
      <c r="E13" s="21"/>
      <c r="F13" s="21"/>
      <c r="G13" s="21"/>
      <c r="H13" s="2"/>
      <c r="I13" s="2"/>
    </row>
    <row r="14" customFormat="false" ht="25.5" hidden="false" customHeight="true" outlineLevel="0" collapsed="false">
      <c r="A14" s="2"/>
      <c r="B14" s="25" t="s">
        <v>36</v>
      </c>
      <c r="C14" s="2"/>
      <c r="D14" s="22" t="s">
        <v>461</v>
      </c>
      <c r="E14" s="22"/>
      <c r="F14" s="75" t="n">
        <v>15000</v>
      </c>
      <c r="G14" s="2"/>
      <c r="H14" s="2"/>
      <c r="I14" s="2"/>
    </row>
    <row r="15" customFormat="false" ht="25.5" hidden="false" customHeight="true" outlineLevel="0" collapsed="false">
      <c r="A15" s="2"/>
      <c r="B15" s="25" t="s">
        <v>41</v>
      </c>
      <c r="C15" s="2"/>
      <c r="D15" s="102" t="s">
        <v>462</v>
      </c>
      <c r="E15" s="102"/>
      <c r="F15" s="75" t="n">
        <v>8000</v>
      </c>
      <c r="G15" s="2"/>
      <c r="H15" s="2"/>
      <c r="I15" s="2"/>
    </row>
    <row r="16" customFormat="false" ht="25.5" hidden="false" customHeight="true" outlineLevel="0" collapsed="false">
      <c r="A16" s="2"/>
      <c r="B16" s="25" t="s">
        <v>42</v>
      </c>
      <c r="C16" s="2"/>
      <c r="D16" s="22" t="s">
        <v>463</v>
      </c>
      <c r="E16" s="22"/>
      <c r="F16" s="75" t="n">
        <v>5000</v>
      </c>
      <c r="G16" s="2"/>
      <c r="H16" s="2"/>
      <c r="I16" s="2"/>
    </row>
    <row r="17" customFormat="false" ht="25.5" hidden="false" customHeight="true" outlineLevel="0" collapsed="false">
      <c r="A17" s="2"/>
      <c r="B17" s="25" t="s">
        <v>44</v>
      </c>
      <c r="C17" s="2"/>
      <c r="D17" s="102" t="s">
        <v>464</v>
      </c>
      <c r="E17" s="102"/>
      <c r="F17" s="75" t="n">
        <v>3000</v>
      </c>
      <c r="G17" s="2"/>
      <c r="H17" s="2"/>
      <c r="I17" s="2"/>
    </row>
    <row r="18" customFormat="false" ht="25.5" hidden="false" customHeight="true" outlineLevel="0" collapsed="false">
      <c r="A18" s="2"/>
      <c r="B18" s="7" t="s">
        <v>48</v>
      </c>
      <c r="C18" s="2"/>
      <c r="D18" s="22" t="s">
        <v>465</v>
      </c>
      <c r="E18" s="22"/>
      <c r="F18" s="75" t="n">
        <v>4000</v>
      </c>
      <c r="G18" s="2"/>
      <c r="H18" s="2"/>
      <c r="I18" s="2"/>
    </row>
    <row r="19" customFormat="false" ht="25.5" hidden="false" customHeight="true" outlineLevel="0" collapsed="false">
      <c r="A19" s="2"/>
      <c r="B19" s="25" t="s">
        <v>51</v>
      </c>
      <c r="C19" s="2"/>
      <c r="D19" s="102" t="s">
        <v>466</v>
      </c>
      <c r="E19" s="102"/>
      <c r="F19" s="75" t="n">
        <v>500</v>
      </c>
      <c r="G19" s="2"/>
      <c r="H19" s="2"/>
      <c r="I19" s="2"/>
    </row>
    <row r="20" customFormat="false" ht="31.5" hidden="false" customHeight="true" outlineLevel="0" collapsed="false">
      <c r="A20" s="2"/>
      <c r="B20" s="25" t="s">
        <v>54</v>
      </c>
      <c r="C20" s="2"/>
      <c r="D20" s="22" t="s">
        <v>467</v>
      </c>
      <c r="E20" s="22"/>
      <c r="F20" s="75" t="n">
        <v>2000</v>
      </c>
      <c r="G20" s="2"/>
      <c r="H20" s="2"/>
      <c r="I20" s="2"/>
    </row>
    <row r="21" customFormat="false" ht="25.5" hidden="false" customHeight="true" outlineLevel="0" collapsed="false">
      <c r="A21" s="2"/>
      <c r="B21" s="25" t="s">
        <v>57</v>
      </c>
      <c r="C21" s="2"/>
      <c r="D21" s="102" t="s">
        <v>468</v>
      </c>
      <c r="E21" s="102"/>
      <c r="F21" s="75" t="n">
        <v>2500</v>
      </c>
      <c r="G21" s="2"/>
      <c r="H21" s="2"/>
      <c r="I21" s="2"/>
    </row>
    <row r="22" customFormat="false" ht="25.5" hidden="false" customHeight="true" outlineLevel="0" collapsed="false">
      <c r="A22" s="2"/>
      <c r="B22" s="155" t="s">
        <v>61</v>
      </c>
      <c r="C22" s="2"/>
      <c r="D22" s="2"/>
      <c r="E22" s="2"/>
      <c r="F22" s="2"/>
      <c r="G22" s="2"/>
      <c r="H22" s="2"/>
      <c r="I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</sheetData>
  <mergeCells count="17">
    <mergeCell ref="B1:G1"/>
    <mergeCell ref="B2:G2"/>
    <mergeCell ref="B4:B5"/>
    <mergeCell ref="C5:G5"/>
    <mergeCell ref="C7:G7"/>
    <mergeCell ref="D8:E8"/>
    <mergeCell ref="D9:E9"/>
    <mergeCell ref="D10:E10"/>
    <mergeCell ref="C13:G13"/>
    <mergeCell ref="D14:E14"/>
    <mergeCell ref="D15:E15"/>
    <mergeCell ref="D16:E16"/>
    <mergeCell ref="D17:E17"/>
    <mergeCell ref="D18:E18"/>
    <mergeCell ref="D19:E19"/>
    <mergeCell ref="D20:E20"/>
    <mergeCell ref="D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I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7" min="6" style="1" width="22"/>
    <col collapsed="false" customWidth="true" hidden="false" outlineLevel="0" max="8" min="8" style="1" width="5"/>
  </cols>
  <sheetData>
    <row r="1" customFormat="false" ht="43.5" hidden="false" customHeight="true" outlineLevel="0" collapsed="false">
      <c r="A1" s="2"/>
      <c r="B1" s="3" t="s">
        <v>469</v>
      </c>
      <c r="C1" s="3"/>
      <c r="D1" s="3"/>
      <c r="E1" s="3"/>
      <c r="F1" s="3"/>
      <c r="G1" s="3"/>
      <c r="H1" s="2"/>
      <c r="I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2"/>
      <c r="I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</row>
    <row r="5" customFormat="false" ht="31.5" hidden="false" customHeight="true" outlineLevel="0" collapsed="false">
      <c r="A5" s="2"/>
      <c r="B5" s="6"/>
      <c r="C5" s="100" t="s">
        <v>470</v>
      </c>
      <c r="D5" s="100"/>
      <c r="E5" s="100"/>
      <c r="F5" s="100"/>
      <c r="G5" s="100"/>
      <c r="H5" s="2"/>
      <c r="I5" s="2"/>
    </row>
    <row r="6" customFormat="false" ht="25.5" hidden="false" customHeight="true" outlineLevel="0" collapsed="false">
      <c r="A6" s="2"/>
      <c r="B6" s="7" t="s">
        <v>3</v>
      </c>
      <c r="C6" s="2"/>
      <c r="D6" s="2"/>
      <c r="E6" s="2"/>
      <c r="F6" s="2"/>
      <c r="G6" s="2"/>
      <c r="H6" s="2"/>
      <c r="I6" s="2"/>
    </row>
    <row r="7" customFormat="false" ht="31.5" hidden="false" customHeight="true" outlineLevel="0" collapsed="false">
      <c r="A7" s="2"/>
      <c r="B7" s="25" t="s">
        <v>4</v>
      </c>
      <c r="C7" s="2"/>
      <c r="D7" s="22" t="s">
        <v>471</v>
      </c>
      <c r="E7" s="22"/>
      <c r="F7" s="162" t="n">
        <v>500000</v>
      </c>
      <c r="G7" s="162"/>
      <c r="H7" s="2"/>
      <c r="I7" s="2"/>
    </row>
    <row r="8" customFormat="false" ht="31.5" hidden="false" customHeight="true" outlineLevel="0" collapsed="false">
      <c r="A8" s="2"/>
      <c r="B8" s="25" t="s">
        <v>6</v>
      </c>
      <c r="C8" s="2"/>
      <c r="D8" s="102" t="s">
        <v>472</v>
      </c>
      <c r="E8" s="102"/>
      <c r="F8" s="163" t="n">
        <f aca="false">F7*0.2</f>
        <v>100000</v>
      </c>
      <c r="G8" s="163"/>
      <c r="H8" s="2"/>
      <c r="I8" s="2"/>
    </row>
    <row r="9" customFormat="false" ht="31.5" hidden="false" customHeight="true" outlineLevel="0" collapsed="false">
      <c r="A9" s="2"/>
      <c r="B9" s="25" t="s">
        <v>11</v>
      </c>
      <c r="C9" s="2"/>
      <c r="D9" s="22" t="s">
        <v>473</v>
      </c>
      <c r="E9" s="22"/>
      <c r="F9" s="162" t="n">
        <v>200000</v>
      </c>
      <c r="G9" s="162"/>
      <c r="H9" s="2"/>
      <c r="I9" s="2"/>
    </row>
    <row r="10" customFormat="false" ht="31.5" hidden="false" customHeight="true" outlineLevel="0" collapsed="false">
      <c r="A10" s="2"/>
      <c r="B10" s="25" t="s">
        <v>16</v>
      </c>
      <c r="C10" s="2"/>
      <c r="D10" s="102" t="s">
        <v>474</v>
      </c>
      <c r="E10" s="102"/>
      <c r="F10" s="163" t="n">
        <f aca="false">F8-F9</f>
        <v>-100000</v>
      </c>
      <c r="G10" s="163"/>
      <c r="H10" s="2"/>
      <c r="I10" s="2"/>
    </row>
    <row r="11" customFormat="false" ht="31.5" hidden="false" customHeight="true" outlineLevel="0" collapsed="false">
      <c r="A11" s="2"/>
      <c r="B11" s="7" t="s">
        <v>21</v>
      </c>
      <c r="C11" s="2"/>
      <c r="D11" s="22" t="s">
        <v>475</v>
      </c>
      <c r="E11" s="22"/>
      <c r="F11" s="163" t="s">
        <v>476</v>
      </c>
      <c r="G11" s="163"/>
      <c r="H11" s="2"/>
      <c r="I11" s="2"/>
    </row>
    <row r="12" customFormat="false" ht="31.5" hidden="false" customHeight="true" outlineLevel="0" collapsed="false">
      <c r="A12" s="2"/>
      <c r="B12" s="25" t="s">
        <v>26</v>
      </c>
      <c r="C12" s="2"/>
      <c r="D12" s="102" t="s">
        <v>477</v>
      </c>
      <c r="E12" s="102"/>
      <c r="F12" s="162" t="n">
        <v>20</v>
      </c>
      <c r="G12" s="162"/>
      <c r="H12" s="2"/>
      <c r="I12" s="2"/>
    </row>
    <row r="13" customFormat="false" ht="31.5" hidden="false" customHeight="true" outlineLevel="0" collapsed="false">
      <c r="A13" s="2"/>
      <c r="B13" s="25" t="s">
        <v>31</v>
      </c>
      <c r="C13" s="2"/>
      <c r="D13" s="22" t="s">
        <v>478</v>
      </c>
      <c r="E13" s="22"/>
      <c r="F13" s="162" t="n">
        <v>2500</v>
      </c>
      <c r="G13" s="162"/>
      <c r="H13" s="2"/>
      <c r="I13" s="2"/>
    </row>
    <row r="14" customFormat="false" ht="25.5" hidden="false" customHeight="true" outlineLevel="0" collapsed="false">
      <c r="A14" s="2"/>
      <c r="B14" s="25" t="s">
        <v>36</v>
      </c>
      <c r="C14" s="2"/>
      <c r="D14" s="102" t="s">
        <v>479</v>
      </c>
      <c r="E14" s="102"/>
      <c r="F14" s="163" t="s">
        <v>293</v>
      </c>
      <c r="G14" s="163"/>
      <c r="H14" s="2"/>
      <c r="I14" s="2"/>
    </row>
    <row r="15" customFormat="false" ht="25.5" hidden="false" customHeight="true" outlineLevel="0" collapsed="false">
      <c r="A15" s="2"/>
      <c r="B15" s="25" t="s">
        <v>41</v>
      </c>
      <c r="C15" s="2"/>
      <c r="D15" s="2"/>
      <c r="E15" s="2"/>
      <c r="F15" s="2"/>
      <c r="G15" s="2"/>
      <c r="H15" s="2"/>
      <c r="I15" s="2"/>
    </row>
    <row r="16" customFormat="false" ht="25.5" hidden="false" customHeight="true" outlineLevel="0" collapsed="false">
      <c r="A16" s="2"/>
      <c r="B16" s="25" t="s">
        <v>42</v>
      </c>
      <c r="C16" s="2"/>
      <c r="D16" s="2"/>
      <c r="E16" s="2"/>
      <c r="F16" s="2"/>
      <c r="G16" s="2"/>
      <c r="H16" s="2"/>
      <c r="I16" s="2"/>
    </row>
    <row r="17" customFormat="false" ht="31.5" hidden="false" customHeight="true" outlineLevel="0" collapsed="false">
      <c r="A17" s="2"/>
      <c r="B17" s="25" t="s">
        <v>44</v>
      </c>
      <c r="C17" s="21" t="s">
        <v>480</v>
      </c>
      <c r="D17" s="21"/>
      <c r="E17" s="21"/>
      <c r="F17" s="21"/>
      <c r="G17" s="21"/>
      <c r="H17" s="2"/>
      <c r="I17" s="2"/>
    </row>
    <row r="18" customFormat="false" ht="36" hidden="false" customHeight="true" outlineLevel="0" collapsed="false">
      <c r="A18" s="2"/>
      <c r="B18" s="7" t="s">
        <v>48</v>
      </c>
      <c r="C18" s="2"/>
      <c r="D18" s="22" t="s">
        <v>277</v>
      </c>
      <c r="E18" s="22"/>
      <c r="F18" s="164" t="n">
        <f aca="false">IF(F8&gt;0,MIN(F9/F8,1),0)</f>
        <v>1</v>
      </c>
      <c r="G18" s="164"/>
      <c r="H18" s="2"/>
      <c r="I18" s="2"/>
    </row>
    <row r="19" customFormat="false" ht="25.5" hidden="false" customHeight="true" outlineLevel="0" collapsed="false">
      <c r="A19" s="2"/>
      <c r="B19" s="25" t="s">
        <v>51</v>
      </c>
      <c r="C19" s="2"/>
      <c r="D19" s="2"/>
      <c r="E19" s="2"/>
      <c r="F19" s="2"/>
      <c r="G19" s="2"/>
      <c r="H19" s="2"/>
      <c r="I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</row>
    <row r="23" customFormat="false" ht="25.5" hidden="false" customHeight="true" outlineLevel="0" collapsed="false">
      <c r="A23" s="2"/>
      <c r="B23" s="26" t="s">
        <v>65</v>
      </c>
      <c r="C23" s="2"/>
      <c r="D23" s="2"/>
      <c r="E23" s="2"/>
      <c r="F23" s="2"/>
      <c r="G23" s="2"/>
      <c r="H23" s="2"/>
      <c r="I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</sheetData>
  <mergeCells count="23">
    <mergeCell ref="B1:G1"/>
    <mergeCell ref="B2:G2"/>
    <mergeCell ref="B4:B5"/>
    <mergeCell ref="C5:G5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C17:G17"/>
    <mergeCell ref="D18:E18"/>
    <mergeCell ref="F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6B"/>
    <pageSetUpPr fitToPage="false"/>
  </sheetPr>
  <dimension ref="A1:T9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3"/>
    <col collapsed="false" customWidth="true" hidden="false" outlineLevel="0" max="5" min="4" style="1" width="18"/>
    <col collapsed="false" customWidth="true" hidden="false" outlineLevel="0" max="6" min="6" style="1" width="3"/>
    <col collapsed="false" customWidth="true" hidden="false" outlineLevel="0" max="8" min="7" style="1" width="18"/>
    <col collapsed="false" customWidth="true" hidden="false" outlineLevel="0" max="9" min="9" style="1" width="3"/>
    <col collapsed="false" customWidth="true" hidden="false" outlineLevel="0" max="11" min="10" style="1" width="18"/>
    <col collapsed="false" customWidth="true" hidden="false" outlineLevel="0" max="12" min="12" style="1" width="3"/>
    <col collapsed="false" customWidth="true" hidden="false" outlineLevel="0" max="14" min="13" style="1" width="18"/>
    <col collapsed="false" customWidth="true" hidden="false" outlineLevel="0" max="15" min="15" style="1" width="3"/>
  </cols>
  <sheetData>
    <row r="1" customFormat="false" ht="43.5" hidden="false" customHeight="true" outlineLevel="0" collapsed="false">
      <c r="A1" s="2"/>
      <c r="B1" s="165" t="s">
        <v>481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2"/>
      <c r="P1" s="2"/>
    </row>
    <row r="2" customFormat="false" ht="4.5" hidden="false" customHeight="true" outlineLevel="0" collapsed="false">
      <c r="A2" s="2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2"/>
      <c r="P2" s="2"/>
    </row>
    <row r="3" customFormat="false" ht="3.75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</row>
    <row r="4" customFormat="false" ht="25.5" hidden="false" customHeight="true" outlineLevel="0" collapsed="false">
      <c r="A4" s="2"/>
      <c r="B4" s="6" t="s">
        <v>2</v>
      </c>
      <c r="O4" s="2"/>
      <c r="P4" s="2"/>
    </row>
    <row r="5" customFormat="false" ht="24" hidden="false" customHeight="true" outlineLevel="0" collapsed="false">
      <c r="A5" s="2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31.5" hidden="false" customHeight="true" outlineLevel="0" collapsed="false">
      <c r="A6" s="2"/>
      <c r="B6" s="7" t="s">
        <v>3</v>
      </c>
      <c r="C6" s="14" t="s">
        <v>482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"/>
      <c r="P6" s="2"/>
    </row>
    <row r="7" customFormat="false" ht="25.5" hidden="false" customHeight="true" outlineLevel="0" collapsed="false">
      <c r="A7" s="2"/>
      <c r="B7" s="25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25.5" hidden="false" customHeight="true" outlineLevel="0" collapsed="false">
      <c r="A8" s="2"/>
      <c r="B8" s="25" t="s">
        <v>6</v>
      </c>
      <c r="C8" s="2"/>
      <c r="D8" s="166" t="s">
        <v>483</v>
      </c>
      <c r="E8" s="166"/>
      <c r="F8" s="2"/>
      <c r="G8" s="167" t="s">
        <v>484</v>
      </c>
      <c r="H8" s="167"/>
      <c r="I8" s="2"/>
      <c r="J8" s="168" t="s">
        <v>485</v>
      </c>
      <c r="K8" s="168"/>
      <c r="L8" s="2"/>
      <c r="M8" s="169" t="s">
        <v>486</v>
      </c>
      <c r="N8" s="169"/>
      <c r="O8" s="2"/>
      <c r="P8" s="2"/>
    </row>
    <row r="9" customFormat="false" ht="36" hidden="false" customHeight="true" outlineLevel="0" collapsed="false">
      <c r="A9" s="2"/>
      <c r="B9" s="25" t="s">
        <v>11</v>
      </c>
      <c r="C9" s="2"/>
      <c r="D9" s="170" t="n">
        <v>15000</v>
      </c>
      <c r="E9" s="170"/>
      <c r="F9" s="2"/>
      <c r="G9" s="171" t="n">
        <v>10580</v>
      </c>
      <c r="H9" s="171"/>
      <c r="I9" s="2"/>
      <c r="J9" s="172" t="n">
        <f aca="false">D9-G9</f>
        <v>4420</v>
      </c>
      <c r="K9" s="172"/>
      <c r="L9" s="2"/>
      <c r="M9" s="173" t="n">
        <f aca="false">IF(D9&gt;0,J9/D9,0)</f>
        <v>0.294666666666667</v>
      </c>
      <c r="N9" s="173"/>
      <c r="O9" s="2"/>
      <c r="P9" s="2"/>
    </row>
    <row r="10" customFormat="false" ht="25.5" hidden="false" customHeight="true" outlineLevel="0" collapsed="false">
      <c r="A10" s="2"/>
      <c r="B10" s="25" t="s">
        <v>16</v>
      </c>
      <c r="C10" s="2"/>
      <c r="D10" s="170"/>
      <c r="E10" s="170"/>
      <c r="F10" s="2"/>
      <c r="G10" s="171"/>
      <c r="H10" s="171"/>
      <c r="I10" s="2"/>
      <c r="J10" s="172"/>
      <c r="K10" s="172"/>
      <c r="L10" s="2"/>
      <c r="M10" s="173"/>
      <c r="N10" s="173"/>
      <c r="O10" s="2"/>
      <c r="P10" s="2"/>
    </row>
    <row r="11" customFormat="false" ht="25.5" hidden="false" customHeight="true" outlineLevel="0" collapsed="false">
      <c r="A11" s="2"/>
      <c r="B11" s="7" t="s">
        <v>21</v>
      </c>
      <c r="C11" s="2"/>
      <c r="D11" s="70" t="s">
        <v>487</v>
      </c>
      <c r="E11" s="70"/>
      <c r="F11" s="2"/>
      <c r="G11" s="70" t="s">
        <v>488</v>
      </c>
      <c r="H11" s="70"/>
      <c r="I11" s="2"/>
      <c r="J11" s="70" t="s">
        <v>489</v>
      </c>
      <c r="K11" s="70"/>
      <c r="L11" s="2"/>
      <c r="M11" s="70" t="s">
        <v>490</v>
      </c>
      <c r="N11" s="70"/>
      <c r="O11" s="2"/>
      <c r="P11" s="2"/>
    </row>
    <row r="12" customFormat="false" ht="25.5" hidden="false" customHeight="true" outlineLevel="0" collapsed="false">
      <c r="A12" s="2"/>
      <c r="B12" s="25" t="s">
        <v>26</v>
      </c>
      <c r="C12" s="2"/>
      <c r="D12" s="71"/>
      <c r="E12" s="71"/>
      <c r="F12" s="2"/>
      <c r="G12" s="174"/>
      <c r="H12" s="174"/>
      <c r="I12" s="2"/>
      <c r="J12" s="73"/>
      <c r="K12" s="73"/>
      <c r="L12" s="2"/>
      <c r="M12" s="72"/>
      <c r="N12" s="72"/>
      <c r="O12" s="2"/>
      <c r="P12" s="2"/>
    </row>
    <row r="13" customFormat="false" ht="25.5" hidden="false" customHeight="true" outlineLevel="0" collapsed="false">
      <c r="A13" s="2"/>
      <c r="B13" s="25" t="s">
        <v>31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25.5" hidden="false" customHeight="true" outlineLevel="0" collapsed="false">
      <c r="A14" s="2"/>
      <c r="B14" s="25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25.5" hidden="false" customHeight="true" outlineLevel="0" collapsed="false">
      <c r="A15" s="2"/>
      <c r="B15" s="25" t="s">
        <v>41</v>
      </c>
      <c r="C15" s="2"/>
      <c r="D15" s="175" t="s">
        <v>491</v>
      </c>
      <c r="E15" s="175"/>
      <c r="F15" s="2"/>
      <c r="G15" s="167" t="s">
        <v>492</v>
      </c>
      <c r="H15" s="167"/>
      <c r="I15" s="2"/>
      <c r="J15" s="166" t="s">
        <v>493</v>
      </c>
      <c r="K15" s="166"/>
      <c r="L15" s="2"/>
      <c r="M15" s="166" t="s">
        <v>494</v>
      </c>
      <c r="N15" s="166"/>
      <c r="O15" s="2"/>
      <c r="P15" s="2"/>
    </row>
    <row r="16" customFormat="false" ht="36" hidden="false" customHeight="true" outlineLevel="0" collapsed="false">
      <c r="A16" s="2"/>
      <c r="B16" s="25" t="s">
        <v>42</v>
      </c>
      <c r="C16" s="2"/>
      <c r="D16" s="176" t="n">
        <v>4125</v>
      </c>
      <c r="E16" s="176"/>
      <c r="F16" s="2"/>
      <c r="G16" s="171" t="n">
        <v>28000</v>
      </c>
      <c r="H16" s="171"/>
      <c r="I16" s="2"/>
      <c r="J16" s="170" t="n">
        <v>580000</v>
      </c>
      <c r="K16" s="170"/>
      <c r="L16" s="2"/>
      <c r="M16" s="170" t="n">
        <v>2200</v>
      </c>
      <c r="N16" s="170"/>
      <c r="O16" s="2"/>
      <c r="P16" s="2"/>
    </row>
    <row r="17" customFormat="false" ht="25.5" hidden="false" customHeight="true" outlineLevel="0" collapsed="false">
      <c r="A17" s="2"/>
      <c r="B17" s="25" t="s">
        <v>44</v>
      </c>
      <c r="C17" s="2"/>
      <c r="D17" s="176"/>
      <c r="E17" s="176"/>
      <c r="F17" s="2"/>
      <c r="G17" s="171"/>
      <c r="H17" s="171"/>
      <c r="I17" s="2"/>
      <c r="J17" s="170"/>
      <c r="K17" s="170"/>
      <c r="L17" s="2"/>
      <c r="M17" s="170"/>
      <c r="N17" s="170"/>
      <c r="O17" s="2"/>
      <c r="P17" s="2"/>
    </row>
    <row r="18" customFormat="false" ht="25.5" hidden="false" customHeight="true" outlineLevel="0" collapsed="false">
      <c r="A18" s="2"/>
      <c r="B18" s="7" t="s">
        <v>48</v>
      </c>
      <c r="C18" s="2"/>
      <c r="D18" s="70" t="s">
        <v>495</v>
      </c>
      <c r="E18" s="70"/>
      <c r="F18" s="2"/>
      <c r="G18" s="70" t="s">
        <v>496</v>
      </c>
      <c r="H18" s="70"/>
      <c r="I18" s="2"/>
      <c r="J18" s="70" t="s">
        <v>497</v>
      </c>
      <c r="K18" s="70"/>
      <c r="L18" s="2"/>
      <c r="M18" s="70" t="s">
        <v>498</v>
      </c>
      <c r="N18" s="70"/>
      <c r="O18" s="2"/>
      <c r="P18" s="2"/>
    </row>
    <row r="19" customFormat="false" ht="25.5" hidden="false" customHeight="true" outlineLevel="0" collapsed="false">
      <c r="A19" s="2"/>
      <c r="B19" s="25" t="s">
        <v>51</v>
      </c>
      <c r="C19" s="2"/>
      <c r="D19" s="177"/>
      <c r="E19" s="177"/>
      <c r="F19" s="2"/>
      <c r="G19" s="174"/>
      <c r="H19" s="174"/>
      <c r="I19" s="2"/>
      <c r="J19" s="71"/>
      <c r="K19" s="71"/>
      <c r="L19" s="2"/>
      <c r="M19" s="71"/>
      <c r="N19" s="71"/>
      <c r="O19" s="2"/>
      <c r="P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31.5" hidden="false" customHeight="true" outlineLevel="0" collapsed="false">
      <c r="A22" s="2"/>
      <c r="B22" s="29" t="s">
        <v>61</v>
      </c>
      <c r="C22" s="14" t="s">
        <v>499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2"/>
      <c r="P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24" hidden="false" customHeight="true" outlineLevel="0" collapsed="false">
      <c r="A28" s="2"/>
      <c r="B28" s="178" t="s">
        <v>70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24" hidden="false" customHeight="true" outlineLevel="0" collapsed="false">
      <c r="A29" s="2"/>
      <c r="B29" s="30" t="s">
        <v>71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25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179" t="s">
        <v>500</v>
      </c>
      <c r="Q54" s="180" t="s">
        <v>501</v>
      </c>
      <c r="R54" s="180" t="s">
        <v>502</v>
      </c>
      <c r="S54" s="180" t="s">
        <v>503</v>
      </c>
      <c r="T54" s="180" t="s">
        <v>504</v>
      </c>
    </row>
    <row r="55" customFormat="false" ht="25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79" t="s">
        <v>226</v>
      </c>
      <c r="Q55" s="1" t="n">
        <v>4000</v>
      </c>
      <c r="R55" s="180" t="s">
        <v>200</v>
      </c>
      <c r="S55" s="1" t="n">
        <v>15000</v>
      </c>
      <c r="T55" s="1" t="n">
        <v>11500</v>
      </c>
    </row>
    <row r="56" customFormat="false" ht="25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179" t="s">
        <v>230</v>
      </c>
      <c r="Q56" s="1" t="n">
        <v>2000</v>
      </c>
      <c r="R56" s="180" t="s">
        <v>218</v>
      </c>
      <c r="S56" s="1" t="n">
        <v>15000</v>
      </c>
      <c r="T56" s="1" t="n">
        <v>10800</v>
      </c>
    </row>
    <row r="57" customFormat="false" ht="31.5" hidden="false" customHeight="true" outlineLevel="0" collapsed="false">
      <c r="A57" s="2"/>
      <c r="B57" s="2"/>
      <c r="C57" s="181" t="s">
        <v>505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2"/>
      <c r="P57" s="179" t="s">
        <v>234</v>
      </c>
      <c r="Q57" s="1" t="n">
        <v>1200</v>
      </c>
      <c r="R57" s="180" t="s">
        <v>506</v>
      </c>
      <c r="S57" s="1" t="n">
        <v>17000</v>
      </c>
      <c r="T57" s="1" t="n">
        <v>12500</v>
      </c>
    </row>
    <row r="58" customFormat="false" ht="25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79" t="s">
        <v>245</v>
      </c>
      <c r="Q58" s="1" t="n">
        <v>1000</v>
      </c>
      <c r="R58" s="180" t="s">
        <v>507</v>
      </c>
      <c r="S58" s="1" t="n">
        <v>15000</v>
      </c>
      <c r="T58" s="1" t="n">
        <v>11200</v>
      </c>
    </row>
    <row r="59" customFormat="false" ht="25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79" t="s">
        <v>508</v>
      </c>
      <c r="Q59" s="1" t="n">
        <v>3000</v>
      </c>
      <c r="R59" s="180" t="s">
        <v>509</v>
      </c>
      <c r="S59" s="1" t="n">
        <v>15000</v>
      </c>
      <c r="T59" s="1" t="n">
        <v>10900</v>
      </c>
    </row>
    <row r="60" customFormat="false" ht="25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79" t="s">
        <v>249</v>
      </c>
      <c r="Q60" s="1" t="n">
        <v>375</v>
      </c>
      <c r="R60" s="180" t="s">
        <v>510</v>
      </c>
      <c r="S60" s="1" t="n">
        <v>18000</v>
      </c>
      <c r="T60" s="1" t="n">
        <v>13000</v>
      </c>
    </row>
    <row r="61" customFormat="false" ht="25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79" t="s">
        <v>253</v>
      </c>
      <c r="Q61" s="1" t="n">
        <v>600</v>
      </c>
      <c r="R61" s="180" t="s">
        <v>511</v>
      </c>
      <c r="S61" s="1" t="n">
        <v>15000</v>
      </c>
      <c r="T61" s="1" t="n">
        <v>11800</v>
      </c>
    </row>
    <row r="62" customFormat="false" ht="25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79" t="s">
        <v>268</v>
      </c>
      <c r="Q62" s="1" t="n">
        <v>1825</v>
      </c>
      <c r="R62" s="180" t="s">
        <v>512</v>
      </c>
      <c r="S62" s="1" t="n">
        <v>15000</v>
      </c>
      <c r="T62" s="1" t="n">
        <v>10500</v>
      </c>
    </row>
    <row r="63" customFormat="false" ht="25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R63" s="180" t="s">
        <v>513</v>
      </c>
      <c r="S63" s="1" t="n">
        <v>16000</v>
      </c>
      <c r="T63" s="1" t="n">
        <v>12000</v>
      </c>
    </row>
    <row r="64" customFormat="false" ht="25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R64" s="180" t="s">
        <v>514</v>
      </c>
      <c r="S64" s="1" t="n">
        <v>15000</v>
      </c>
      <c r="T64" s="1" t="n">
        <v>11200</v>
      </c>
    </row>
    <row r="65" customFormat="false" ht="25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R65" s="180" t="s">
        <v>515</v>
      </c>
      <c r="S65" s="1" t="n">
        <v>15000</v>
      </c>
      <c r="T65" s="1" t="n">
        <v>11800</v>
      </c>
    </row>
    <row r="66" customFormat="false" ht="25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R66" s="180" t="s">
        <v>516</v>
      </c>
      <c r="S66" s="1" t="n">
        <v>20000</v>
      </c>
      <c r="T66" s="1" t="n">
        <v>15000</v>
      </c>
    </row>
    <row r="67" customFormat="false" ht="24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24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25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79" t="s">
        <v>502</v>
      </c>
      <c r="Q69" s="180" t="s">
        <v>517</v>
      </c>
    </row>
    <row r="70" customFormat="false" ht="25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79" t="s">
        <v>200</v>
      </c>
      <c r="Q70" s="1" t="n">
        <v>3500</v>
      </c>
    </row>
    <row r="71" customFormat="false" ht="25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79" t="s">
        <v>218</v>
      </c>
      <c r="Q71" s="1" t="n">
        <v>7200</v>
      </c>
    </row>
    <row r="72" customFormat="false" ht="25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79" t="s">
        <v>506</v>
      </c>
      <c r="Q72" s="1" t="n">
        <v>11000</v>
      </c>
    </row>
    <row r="73" customFormat="false" ht="25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79" t="s">
        <v>507</v>
      </c>
      <c r="Q73" s="1" t="n">
        <v>14500</v>
      </c>
    </row>
    <row r="74" customFormat="false" ht="25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79" t="s">
        <v>509</v>
      </c>
      <c r="Q74" s="1" t="n">
        <v>18200</v>
      </c>
    </row>
    <row r="75" customFormat="false" ht="25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79" t="s">
        <v>510</v>
      </c>
      <c r="Q75" s="1" t="n">
        <v>22800</v>
      </c>
    </row>
    <row r="76" customFormat="false" ht="25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79" t="s">
        <v>511</v>
      </c>
      <c r="Q76" s="1" t="n">
        <v>26500</v>
      </c>
    </row>
    <row r="77" customFormat="false" ht="25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79" t="s">
        <v>512</v>
      </c>
      <c r="Q77" s="1" t="n">
        <v>30200</v>
      </c>
    </row>
    <row r="78" customFormat="false" ht="25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79" t="s">
        <v>513</v>
      </c>
      <c r="Q78" s="1" t="n">
        <v>34500</v>
      </c>
    </row>
    <row r="79" customFormat="false" ht="25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79" t="s">
        <v>514</v>
      </c>
      <c r="Q79" s="1" t="n">
        <v>38000</v>
      </c>
    </row>
    <row r="80" customFormat="false" ht="25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79" t="s">
        <v>515</v>
      </c>
      <c r="Q80" s="1" t="n">
        <v>42000</v>
      </c>
    </row>
    <row r="81" customFormat="false" ht="25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79" t="s">
        <v>516</v>
      </c>
      <c r="Q81" s="1" t="n">
        <v>46500</v>
      </c>
    </row>
    <row r="82" customFormat="false" ht="24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24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25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79" t="s">
        <v>518</v>
      </c>
      <c r="Q84" s="180" t="s">
        <v>519</v>
      </c>
    </row>
    <row r="85" customFormat="false" ht="25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79" t="s">
        <v>520</v>
      </c>
      <c r="Q85" s="1" t="n">
        <v>67</v>
      </c>
    </row>
    <row r="86" customFormat="false" ht="25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79" t="s">
        <v>521</v>
      </c>
      <c r="Q86" s="1" t="n">
        <v>53</v>
      </c>
    </row>
    <row r="87" customFormat="false" ht="25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79" t="s">
        <v>367</v>
      </c>
      <c r="Q87" s="1" t="n">
        <v>60</v>
      </c>
    </row>
    <row r="88" customFormat="false" ht="25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79" t="s">
        <v>522</v>
      </c>
      <c r="Q88" s="1" t="n">
        <v>20</v>
      </c>
    </row>
    <row r="89" customFormat="false" ht="25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79" t="s">
        <v>523</v>
      </c>
      <c r="Q89" s="1" t="n">
        <v>44</v>
      </c>
    </row>
    <row r="90" customFormat="false" ht="25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79" t="s">
        <v>524</v>
      </c>
      <c r="Q90" s="1" t="n">
        <v>20</v>
      </c>
    </row>
    <row r="91" customFormat="false" ht="24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24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24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customFormat="false" ht="24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24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customFormat="false" ht="24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customFormat="false" ht="24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customFormat="false" ht="24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customFormat="false" ht="24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</sheetData>
  <mergeCells count="38">
    <mergeCell ref="B1:N2"/>
    <mergeCell ref="B3:N3"/>
    <mergeCell ref="B4:B5"/>
    <mergeCell ref="C6:N6"/>
    <mergeCell ref="D8:E8"/>
    <mergeCell ref="G8:H8"/>
    <mergeCell ref="J8:K8"/>
    <mergeCell ref="M8:N8"/>
    <mergeCell ref="D9:E10"/>
    <mergeCell ref="G9:H10"/>
    <mergeCell ref="J9:K10"/>
    <mergeCell ref="M9:N10"/>
    <mergeCell ref="D11:E11"/>
    <mergeCell ref="G11:H11"/>
    <mergeCell ref="J11:K11"/>
    <mergeCell ref="M11:N11"/>
    <mergeCell ref="D12:E12"/>
    <mergeCell ref="G12:H12"/>
    <mergeCell ref="J12:K12"/>
    <mergeCell ref="M12:N12"/>
    <mergeCell ref="D15:E15"/>
    <mergeCell ref="G15:H15"/>
    <mergeCell ref="J15:K15"/>
    <mergeCell ref="M15:N15"/>
    <mergeCell ref="D16:E17"/>
    <mergeCell ref="G16:H17"/>
    <mergeCell ref="J16:K17"/>
    <mergeCell ref="M16:N17"/>
    <mergeCell ref="D18:E18"/>
    <mergeCell ref="G18:H18"/>
    <mergeCell ref="J18:K18"/>
    <mergeCell ref="M18:N18"/>
    <mergeCell ref="D19:E19"/>
    <mergeCell ref="G19:H19"/>
    <mergeCell ref="J19:K19"/>
    <mergeCell ref="M19:N19"/>
    <mergeCell ref="C22:N22"/>
    <mergeCell ref="C57:N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5B50"/>
    <pageSetUpPr fitToPage="false"/>
  </sheetPr>
  <dimension ref="A1:J59"/>
  <sheetViews>
    <sheetView showFormulas="false" showGridLines="false" showRowColHeaders="true" showZeros="true" rightToLeft="tru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5"/>
    <col collapsed="false" customWidth="true" hidden="false" outlineLevel="0" max="4" min="4" style="1" width="26"/>
    <col collapsed="false" customWidth="true" hidden="false" outlineLevel="0" max="8" min="5" style="1" width="20"/>
    <col collapsed="false" customWidth="true" hidden="false" outlineLevel="0" max="9" min="9" style="1" width="5"/>
  </cols>
  <sheetData>
    <row r="1" customFormat="false" ht="43.5" hidden="false" customHeight="true" outlineLevel="0" collapsed="false">
      <c r="A1" s="2"/>
      <c r="B1" s="3" t="s">
        <v>525</v>
      </c>
      <c r="C1" s="3"/>
      <c r="D1" s="3"/>
      <c r="E1" s="3"/>
      <c r="F1" s="3"/>
      <c r="G1" s="3"/>
      <c r="H1" s="3"/>
      <c r="I1" s="2"/>
      <c r="J1" s="2"/>
    </row>
    <row r="2" customFormat="false" ht="3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2"/>
      <c r="J2" s="2"/>
    </row>
    <row r="3" customFormat="false" ht="24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5.5" hidden="false" customHeight="true" outlineLevel="0" collapsed="false">
      <c r="A4" s="2"/>
      <c r="B4" s="6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31.5" hidden="false" customHeight="true" outlineLevel="0" collapsed="false">
      <c r="A5" s="2"/>
      <c r="B5" s="6"/>
      <c r="C5" s="21" t="s">
        <v>526</v>
      </c>
      <c r="D5" s="21"/>
      <c r="E5" s="21"/>
      <c r="F5" s="21"/>
      <c r="G5" s="21"/>
      <c r="H5" s="21"/>
      <c r="I5" s="2"/>
      <c r="J5" s="2"/>
    </row>
    <row r="6" customFormat="false" ht="42" hidden="false" customHeight="true" outlineLevel="0" collapsed="false">
      <c r="A6" s="2"/>
      <c r="B6" s="7" t="s">
        <v>3</v>
      </c>
      <c r="C6" s="2"/>
      <c r="D6" s="105" t="s">
        <v>527</v>
      </c>
      <c r="E6" s="105" t="s">
        <v>528</v>
      </c>
      <c r="F6" s="105" t="s">
        <v>529</v>
      </c>
      <c r="G6" s="105" t="s">
        <v>530</v>
      </c>
      <c r="H6" s="105" t="s">
        <v>531</v>
      </c>
      <c r="I6" s="2"/>
      <c r="J6" s="2"/>
    </row>
    <row r="7" customFormat="false" ht="25.5" hidden="false" customHeight="true" outlineLevel="0" collapsed="false">
      <c r="A7" s="2"/>
      <c r="B7" s="25" t="s">
        <v>4</v>
      </c>
      <c r="C7" s="2"/>
      <c r="D7" s="120" t="s">
        <v>98</v>
      </c>
      <c r="E7" s="61" t="n">
        <v>15000</v>
      </c>
      <c r="F7" s="125" t="n">
        <v>11500</v>
      </c>
      <c r="G7" s="42" t="n">
        <v>3500</v>
      </c>
      <c r="H7" s="51" t="n">
        <v>375</v>
      </c>
      <c r="I7" s="2"/>
      <c r="J7" s="2"/>
    </row>
    <row r="8" customFormat="false" ht="25.5" hidden="false" customHeight="true" outlineLevel="0" collapsed="false">
      <c r="A8" s="2"/>
      <c r="B8" s="25" t="s">
        <v>6</v>
      </c>
      <c r="C8" s="2"/>
      <c r="D8" s="121" t="s">
        <v>532</v>
      </c>
      <c r="E8" s="117" t="n">
        <v>15000</v>
      </c>
      <c r="F8" s="126" t="n">
        <v>10800</v>
      </c>
      <c r="G8" s="58" t="n">
        <v>4200</v>
      </c>
      <c r="H8" s="111" t="n">
        <v>375</v>
      </c>
      <c r="I8" s="2"/>
      <c r="J8" s="2"/>
    </row>
    <row r="9" customFormat="false" ht="25.5" hidden="false" customHeight="true" outlineLevel="0" collapsed="false">
      <c r="A9" s="2"/>
      <c r="B9" s="25" t="s">
        <v>11</v>
      </c>
      <c r="C9" s="2"/>
      <c r="D9" s="120" t="s">
        <v>533</v>
      </c>
      <c r="E9" s="61" t="n">
        <v>17000</v>
      </c>
      <c r="F9" s="125" t="n">
        <v>12500</v>
      </c>
      <c r="G9" s="42" t="n">
        <v>4500</v>
      </c>
      <c r="H9" s="51" t="n">
        <v>425</v>
      </c>
      <c r="I9" s="2"/>
      <c r="J9" s="2"/>
    </row>
    <row r="10" customFormat="false" ht="25.5" hidden="false" customHeight="true" outlineLevel="0" collapsed="false">
      <c r="A10" s="2"/>
      <c r="B10" s="25" t="s">
        <v>16</v>
      </c>
      <c r="C10" s="2"/>
      <c r="D10" s="121" t="s">
        <v>534</v>
      </c>
      <c r="E10" s="117" t="n">
        <v>15000</v>
      </c>
      <c r="F10" s="126" t="n">
        <v>11200</v>
      </c>
      <c r="G10" s="58" t="n">
        <v>3800</v>
      </c>
      <c r="H10" s="111" t="n">
        <v>375</v>
      </c>
      <c r="I10" s="2"/>
      <c r="J10" s="2"/>
    </row>
    <row r="11" customFormat="false" ht="25.5" hidden="false" customHeight="true" outlineLevel="0" collapsed="false">
      <c r="A11" s="2"/>
      <c r="B11" s="7" t="s">
        <v>21</v>
      </c>
      <c r="C11" s="2"/>
      <c r="D11" s="120" t="s">
        <v>535</v>
      </c>
      <c r="E11" s="61" t="n">
        <v>15000</v>
      </c>
      <c r="F11" s="125" t="n">
        <v>10900</v>
      </c>
      <c r="G11" s="42" t="n">
        <v>4100</v>
      </c>
      <c r="H11" s="51" t="n">
        <v>375</v>
      </c>
      <c r="I11" s="2"/>
      <c r="J11" s="2"/>
    </row>
    <row r="12" customFormat="false" ht="25.5" hidden="false" customHeight="true" outlineLevel="0" collapsed="false">
      <c r="A12" s="2"/>
      <c r="B12" s="25" t="s">
        <v>26</v>
      </c>
      <c r="C12" s="2"/>
      <c r="D12" s="121" t="s">
        <v>536</v>
      </c>
      <c r="E12" s="117" t="n">
        <v>18000</v>
      </c>
      <c r="F12" s="126" t="n">
        <v>13000</v>
      </c>
      <c r="G12" s="58" t="n">
        <v>5000</v>
      </c>
      <c r="H12" s="111" t="n">
        <v>450</v>
      </c>
      <c r="I12" s="2"/>
      <c r="J12" s="2"/>
    </row>
    <row r="13" customFormat="false" ht="25.5" hidden="false" customHeight="true" outlineLevel="0" collapsed="false">
      <c r="A13" s="2"/>
      <c r="B13" s="25" t="s">
        <v>31</v>
      </c>
      <c r="C13" s="2"/>
      <c r="D13" s="120" t="s">
        <v>537</v>
      </c>
      <c r="E13" s="61" t="n">
        <v>15000</v>
      </c>
      <c r="F13" s="125" t="n">
        <v>11800</v>
      </c>
      <c r="G13" s="42" t="n">
        <v>3200</v>
      </c>
      <c r="H13" s="51" t="n">
        <v>375</v>
      </c>
      <c r="I13" s="2"/>
      <c r="J13" s="2"/>
    </row>
    <row r="14" customFormat="false" ht="25.5" hidden="false" customHeight="true" outlineLevel="0" collapsed="false">
      <c r="A14" s="2"/>
      <c r="B14" s="25" t="s">
        <v>36</v>
      </c>
      <c r="C14" s="2"/>
      <c r="D14" s="121" t="s">
        <v>538</v>
      </c>
      <c r="E14" s="117" t="n">
        <v>15000</v>
      </c>
      <c r="F14" s="126" t="n">
        <v>10500</v>
      </c>
      <c r="G14" s="58" t="n">
        <v>4500</v>
      </c>
      <c r="H14" s="111" t="n">
        <v>375</v>
      </c>
      <c r="I14" s="2"/>
      <c r="J14" s="2"/>
    </row>
    <row r="15" customFormat="false" ht="25.5" hidden="false" customHeight="true" outlineLevel="0" collapsed="false">
      <c r="A15" s="2"/>
      <c r="B15" s="25" t="s">
        <v>41</v>
      </c>
      <c r="C15" s="2"/>
      <c r="D15" s="120" t="s">
        <v>539</v>
      </c>
      <c r="E15" s="61" t="n">
        <v>16000</v>
      </c>
      <c r="F15" s="125" t="n">
        <v>12000</v>
      </c>
      <c r="G15" s="42" t="n">
        <v>4000</v>
      </c>
      <c r="H15" s="51" t="n">
        <v>400</v>
      </c>
      <c r="I15" s="2"/>
      <c r="J15" s="2"/>
    </row>
    <row r="16" customFormat="false" ht="25.5" hidden="false" customHeight="true" outlineLevel="0" collapsed="false">
      <c r="A16" s="2"/>
      <c r="B16" s="25" t="s">
        <v>42</v>
      </c>
      <c r="C16" s="2"/>
      <c r="D16" s="121" t="s">
        <v>540</v>
      </c>
      <c r="E16" s="117" t="n">
        <v>15000</v>
      </c>
      <c r="F16" s="126" t="n">
        <v>11200</v>
      </c>
      <c r="G16" s="58" t="n">
        <v>3800</v>
      </c>
      <c r="H16" s="111" t="n">
        <v>375</v>
      </c>
      <c r="I16" s="2"/>
      <c r="J16" s="2"/>
    </row>
    <row r="17" customFormat="false" ht="25.5" hidden="false" customHeight="true" outlineLevel="0" collapsed="false">
      <c r="A17" s="2"/>
      <c r="B17" s="25" t="s">
        <v>44</v>
      </c>
      <c r="C17" s="2"/>
      <c r="D17" s="120" t="s">
        <v>541</v>
      </c>
      <c r="E17" s="61" t="n">
        <v>15000</v>
      </c>
      <c r="F17" s="125" t="n">
        <v>11800</v>
      </c>
      <c r="G17" s="42" t="n">
        <v>3200</v>
      </c>
      <c r="H17" s="51" t="n">
        <v>375</v>
      </c>
      <c r="I17" s="2"/>
      <c r="J17" s="2"/>
    </row>
    <row r="18" customFormat="false" ht="25.5" hidden="false" customHeight="true" outlineLevel="0" collapsed="false">
      <c r="A18" s="2"/>
      <c r="B18" s="7" t="s">
        <v>48</v>
      </c>
      <c r="C18" s="2"/>
      <c r="D18" s="121" t="s">
        <v>542</v>
      </c>
      <c r="E18" s="117" t="n">
        <v>20000</v>
      </c>
      <c r="F18" s="126" t="n">
        <v>15000</v>
      </c>
      <c r="G18" s="58" t="n">
        <v>5000</v>
      </c>
      <c r="H18" s="111" t="n">
        <v>500</v>
      </c>
      <c r="I18" s="2"/>
      <c r="J18" s="2"/>
    </row>
    <row r="19" customFormat="false" ht="31.5" hidden="false" customHeight="true" outlineLevel="0" collapsed="false">
      <c r="A19" s="2"/>
      <c r="B19" s="25" t="s">
        <v>51</v>
      </c>
      <c r="C19" s="2"/>
      <c r="D19" s="182" t="s">
        <v>543</v>
      </c>
      <c r="E19" s="183" t="n">
        <f aca="false">SUM(E7:E18)</f>
        <v>191000</v>
      </c>
      <c r="F19" s="183" t="n">
        <f aca="false">SUM(F7:F18)</f>
        <v>142200</v>
      </c>
      <c r="G19" s="183" t="n">
        <f aca="false">SUM(G7:G18)</f>
        <v>48800</v>
      </c>
      <c r="H19" s="183" t="n">
        <f aca="false">SUM(H7:H18)</f>
        <v>4775</v>
      </c>
      <c r="I19" s="2"/>
      <c r="J19" s="2"/>
    </row>
    <row r="20" customFormat="false" ht="25.5" hidden="false" customHeight="true" outlineLevel="0" collapsed="false">
      <c r="A20" s="2"/>
      <c r="B20" s="25" t="s">
        <v>54</v>
      </c>
      <c r="C20" s="2"/>
      <c r="D20" s="2"/>
      <c r="E20" s="2"/>
      <c r="F20" s="2"/>
      <c r="G20" s="2"/>
      <c r="H20" s="2"/>
      <c r="I20" s="2"/>
      <c r="J20" s="2"/>
    </row>
    <row r="21" customFormat="false" ht="25.5" hidden="false" customHeight="true" outlineLevel="0" collapsed="false">
      <c r="A21" s="2"/>
      <c r="B21" s="25" t="s">
        <v>57</v>
      </c>
      <c r="C21" s="2"/>
      <c r="D21" s="2"/>
      <c r="E21" s="2"/>
      <c r="F21" s="2"/>
      <c r="G21" s="2"/>
      <c r="H21" s="2"/>
      <c r="I21" s="2"/>
      <c r="J21" s="2"/>
    </row>
    <row r="22" customFormat="false" ht="25.5" hidden="false" customHeight="true" outlineLevel="0" collapsed="false">
      <c r="A22" s="2"/>
      <c r="B22" s="29" t="s">
        <v>61</v>
      </c>
      <c r="C22" s="2"/>
      <c r="D22" s="2"/>
      <c r="E22" s="2"/>
      <c r="F22" s="2"/>
      <c r="G22" s="2"/>
      <c r="H22" s="2"/>
      <c r="I22" s="2"/>
      <c r="J22" s="2"/>
    </row>
    <row r="23" customFormat="false" ht="25.5" hidden="false" customHeight="true" outlineLevel="0" collapsed="false">
      <c r="A23" s="2"/>
      <c r="B23" s="25" t="s">
        <v>65</v>
      </c>
      <c r="C23" s="2"/>
      <c r="D23" s="2"/>
      <c r="E23" s="2"/>
      <c r="F23" s="2"/>
      <c r="G23" s="2"/>
      <c r="H23" s="2"/>
      <c r="I23" s="2"/>
      <c r="J23" s="2"/>
    </row>
    <row r="24" customFormat="false" ht="25.5" hidden="false" customHeight="true" outlineLevel="0" collapsed="false">
      <c r="A24" s="2"/>
      <c r="B24" s="19" t="s">
        <v>66</v>
      </c>
      <c r="C24" s="2"/>
      <c r="D24" s="2"/>
      <c r="E24" s="2"/>
      <c r="F24" s="2"/>
      <c r="G24" s="2"/>
      <c r="H24" s="2"/>
      <c r="I24" s="2"/>
      <c r="J24" s="2"/>
    </row>
    <row r="25" customFormat="false" ht="25.5" hidden="false" customHeight="true" outlineLevel="0" collapsed="false">
      <c r="A25" s="2"/>
      <c r="B25" s="29" t="s">
        <v>67</v>
      </c>
      <c r="C25" s="2"/>
      <c r="D25" s="2"/>
      <c r="E25" s="2"/>
      <c r="F25" s="2"/>
      <c r="G25" s="2"/>
      <c r="H25" s="2"/>
      <c r="I25" s="2"/>
      <c r="J25" s="2"/>
    </row>
    <row r="26" customFormat="false" ht="25.5" hidden="false" customHeight="true" outlineLevel="0" collapsed="false">
      <c r="A26" s="2"/>
      <c r="B26" s="25" t="s">
        <v>68</v>
      </c>
      <c r="C26" s="2"/>
      <c r="D26" s="2"/>
      <c r="E26" s="2"/>
      <c r="F26" s="2"/>
      <c r="G26" s="2"/>
      <c r="H26" s="2"/>
      <c r="I26" s="2"/>
      <c r="J26" s="2"/>
    </row>
    <row r="27" customFormat="false" ht="25.5" hidden="false" customHeight="true" outlineLevel="0" collapsed="false">
      <c r="A27" s="2"/>
      <c r="B27" s="19" t="s">
        <v>69</v>
      </c>
      <c r="C27" s="2"/>
      <c r="D27" s="2"/>
      <c r="E27" s="2"/>
      <c r="F27" s="2"/>
      <c r="G27" s="2"/>
      <c r="H27" s="2"/>
      <c r="I27" s="2"/>
      <c r="J27" s="2"/>
    </row>
    <row r="28" customFormat="false" ht="24" hidden="false" customHeight="true" outlineLevel="0" collapsed="false">
      <c r="A28" s="2"/>
      <c r="B28" s="30" t="s">
        <v>70</v>
      </c>
      <c r="C28" s="2"/>
      <c r="D28" s="2"/>
      <c r="E28" s="2"/>
      <c r="F28" s="2"/>
      <c r="G28" s="2"/>
      <c r="H28" s="2"/>
      <c r="I28" s="2"/>
      <c r="J28" s="2"/>
    </row>
    <row r="29" customFormat="false" ht="24" hidden="false" customHeight="true" outlineLevel="0" collapsed="false">
      <c r="A29" s="2"/>
      <c r="B29" s="178" t="s">
        <v>71</v>
      </c>
      <c r="C29" s="2"/>
      <c r="D29" s="2"/>
      <c r="E29" s="2"/>
      <c r="F29" s="2"/>
      <c r="G29" s="2"/>
      <c r="H29" s="2"/>
      <c r="I29" s="2"/>
      <c r="J29" s="2"/>
    </row>
    <row r="30" customFormat="false" ht="24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24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24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24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24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24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24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24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24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24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24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24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24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24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24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24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24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24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24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24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24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24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24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24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24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24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24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</sheetData>
  <mergeCells count="4">
    <mergeCell ref="B1:H1"/>
    <mergeCell ref="B2:H2"/>
    <mergeCell ref="B4:B5"/>
    <mergeCell ref="C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2026-05-11T19:09:22Z</dcterms:created>
  <dc:creator>openpyxl</dc:creator>
  <dc:description/>
  <dc:language>en-US</dc:language>
  <cp:lastModifiedBy/>
  <dcterms:modified xsi:type="dcterms:W3CDTF">2026-05-15T11:04:52Z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